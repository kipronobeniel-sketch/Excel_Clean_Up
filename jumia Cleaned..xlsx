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 C\Downloads\"/>
    </mc:Choice>
  </mc:AlternateContent>
  <xr:revisionPtr revIDLastSave="0" documentId="13_ncr:1_{B79A8A8E-A0F4-4E6B-BCCE-A31091CD6525}" xr6:coauthVersionLast="47" xr6:coauthVersionMax="47" xr10:uidLastSave="{00000000-0000-0000-0000-000000000000}"/>
  <bookViews>
    <workbookView xWindow="28680" yWindow="-120" windowWidth="29040" windowHeight="15720" firstSheet="6" activeTab="6" xr2:uid="{F9F36040-6BB9-4AEE-A4E8-D7AEAAB2F616}"/>
  </bookViews>
  <sheets>
    <sheet name="Raw Excel Jumia Data." sheetId="2" r:id="rId1"/>
    <sheet name="Current Price with Rating." sheetId="42" r:id="rId2"/>
    <sheet name="Cleaned_Data" sheetId="8" r:id="rId3"/>
    <sheet name="Average Reviews and Rating." sheetId="10" r:id="rId4"/>
    <sheet name="Discount and Average Reviews." sheetId="11" r:id="rId5"/>
    <sheet name="Average Old Price with Rating." sheetId="13" r:id="rId6"/>
    <sheet name="Products with Rating." sheetId="14" r:id="rId7"/>
    <sheet name="Dashbord." sheetId="22" r:id="rId8"/>
    <sheet name="Products with Discount." sheetId="16" r:id="rId9"/>
    <sheet name="Top 10 Rating." sheetId="23" r:id="rId10"/>
    <sheet name="Top 10 Discount" sheetId="26" r:id="rId11"/>
    <sheet name="Rating Category,Average Review" sheetId="32" r:id="rId12"/>
    <sheet name="Top 10 Reviews." sheetId="39" r:id="rId13"/>
    <sheet name="Price Category,Average Rating." sheetId="33" r:id="rId14"/>
    <sheet name="Discount Category." sheetId="40" r:id="rId15"/>
    <sheet name="Products with high  Reviews" sheetId="35" r:id="rId16"/>
    <sheet name="Top 5 Products With Highest Rat" sheetId="34" r:id="rId17"/>
  </sheets>
  <definedNames>
    <definedName name="ExternalData_1" localSheetId="0" hidden="1">'Raw Excel Jumia Data.'!$A$1:$F$116</definedName>
    <definedName name="Slicer_Discount_Category.">#N/A</definedName>
    <definedName name="Slicer_Price_Category.">#N/A</definedName>
    <definedName name="Slicer_Rating_Category.">#N/A</definedName>
  </definedNames>
  <calcPr calcId="191029"/>
  <pivotCaches>
    <pivotCache cacheId="135"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1" i="8" l="1" a="1"/>
  <c r="P29" i="8" a="1"/>
  <c r="P28" i="8" a="1"/>
  <c r="P7" i="8"/>
  <c r="P6" i="8"/>
  <c r="P16" i="8"/>
  <c r="P14" i="8"/>
  <c r="P13" i="8"/>
  <c r="P11" i="8"/>
  <c r="P34" i="8"/>
  <c r="K11" i="35"/>
  <c r="J11" i="35"/>
  <c r="G11" i="35"/>
  <c r="E11" i="35"/>
  <c r="C11" i="35"/>
  <c r="K10" i="35"/>
  <c r="J10" i="35"/>
  <c r="G10" i="35"/>
  <c r="E10" i="35"/>
  <c r="C10" i="35"/>
  <c r="K9" i="35"/>
  <c r="J9" i="35"/>
  <c r="G9" i="35"/>
  <c r="E9" i="35"/>
  <c r="C9" i="35"/>
  <c r="K8" i="35"/>
  <c r="J8" i="35"/>
  <c r="G8" i="35"/>
  <c r="E8" i="35"/>
  <c r="C8" i="35"/>
  <c r="K7" i="35"/>
  <c r="J7" i="35"/>
  <c r="G7" i="35"/>
  <c r="E7" i="35"/>
  <c r="C7" i="35"/>
  <c r="K6" i="35"/>
  <c r="J6" i="35"/>
  <c r="G6" i="35"/>
  <c r="E6" i="35"/>
  <c r="C6" i="35"/>
  <c r="K5" i="35"/>
  <c r="J5" i="35"/>
  <c r="G5" i="35"/>
  <c r="E5" i="35"/>
  <c r="C5" i="35"/>
  <c r="K4" i="35"/>
  <c r="J4" i="35"/>
  <c r="G4" i="35"/>
  <c r="E4" i="35"/>
  <c r="C4" i="35"/>
  <c r="K3" i="35"/>
  <c r="J3" i="35"/>
  <c r="G3" i="35"/>
  <c r="E3" i="35"/>
  <c r="C3" i="35"/>
  <c r="K2" i="35"/>
  <c r="J2" i="35"/>
  <c r="G2" i="35"/>
  <c r="E2" i="35"/>
  <c r="C2" i="35"/>
  <c r="J8" i="34"/>
  <c r="G8" i="34"/>
  <c r="E8" i="34"/>
  <c r="C8" i="34"/>
  <c r="J7" i="34"/>
  <c r="G7" i="34"/>
  <c r="E7" i="34"/>
  <c r="C7" i="34"/>
  <c r="J6" i="34"/>
  <c r="G6" i="34"/>
  <c r="E6" i="34"/>
  <c r="C6" i="34"/>
  <c r="J5" i="34"/>
  <c r="G5" i="34"/>
  <c r="E5" i="34"/>
  <c r="C5" i="34"/>
  <c r="J4" i="34"/>
  <c r="G4" i="34"/>
  <c r="E4" i="34"/>
  <c r="C4" i="34"/>
  <c r="J3" i="34"/>
  <c r="G3" i="34"/>
  <c r="E3" i="34"/>
  <c r="C3" i="34"/>
  <c r="J2" i="34"/>
  <c r="G2" i="34"/>
  <c r="E2" i="34"/>
  <c r="C2" i="34"/>
  <c r="H125" i="8"/>
  <c r="B125" i="8"/>
  <c r="C74" i="8"/>
  <c r="C90" i="8"/>
  <c r="C77" i="8"/>
  <c r="C73" i="8"/>
  <c r="C68" i="8"/>
  <c r="C92" i="8"/>
  <c r="C94" i="8"/>
  <c r="C69" i="8"/>
  <c r="C98" i="8"/>
  <c r="C91" i="8"/>
  <c r="C70" i="8"/>
  <c r="C67" i="8"/>
  <c r="C80" i="8"/>
  <c r="C88" i="8"/>
  <c r="C61" i="8"/>
  <c r="C62" i="8"/>
  <c r="C60" i="8"/>
  <c r="C78" i="8"/>
  <c r="C76" i="8"/>
  <c r="C99" i="8"/>
  <c r="C2" i="8"/>
  <c r="C93" i="8"/>
  <c r="C83" i="8"/>
  <c r="C87" i="8"/>
  <c r="C75" i="8"/>
  <c r="C97" i="8"/>
  <c r="C96" i="8"/>
  <c r="C89" i="8"/>
  <c r="C3" i="8"/>
  <c r="C85" i="8"/>
  <c r="C72" i="8"/>
  <c r="C86" i="8"/>
  <c r="C71" i="8"/>
  <c r="C79" i="8"/>
  <c r="C64" i="8"/>
  <c r="C63" i="8"/>
  <c r="C84" i="8"/>
  <c r="C82" i="8"/>
  <c r="C4" i="8"/>
  <c r="C5" i="8"/>
  <c r="C6" i="8"/>
  <c r="C7" i="8"/>
  <c r="C8" i="8"/>
  <c r="C9" i="8"/>
  <c r="C10" i="8"/>
  <c r="C11" i="8"/>
  <c r="C12" i="8"/>
  <c r="C13" i="8"/>
  <c r="C14" i="8"/>
  <c r="C15" i="8"/>
  <c r="C16" i="8"/>
  <c r="C17" i="8"/>
  <c r="C18" i="8"/>
  <c r="C19" i="8"/>
  <c r="C20" i="8"/>
  <c r="C21" i="8"/>
  <c r="C22" i="8"/>
  <c r="C23" i="8"/>
  <c r="C24" i="8"/>
  <c r="C109" i="8"/>
  <c r="C100" i="8"/>
  <c r="C114" i="8"/>
  <c r="C106" i="8"/>
  <c r="C107" i="8"/>
  <c r="C105" i="8"/>
  <c r="C112" i="8"/>
  <c r="C110" i="8"/>
  <c r="C101" i="8"/>
  <c r="C108" i="8"/>
  <c r="C102" i="8"/>
  <c r="C111" i="8"/>
  <c r="C103" i="8"/>
  <c r="C113" i="8"/>
  <c r="C115" i="8"/>
  <c r="C25" i="8"/>
  <c r="C26" i="8"/>
  <c r="C27" i="8"/>
  <c r="C28" i="8"/>
  <c r="C104" i="8"/>
  <c r="C65" i="8"/>
  <c r="C29" i="8"/>
  <c r="C30" i="8"/>
  <c r="C95" i="8"/>
  <c r="C31" i="8"/>
  <c r="C32" i="8"/>
  <c r="C33" i="8"/>
  <c r="C34" i="8"/>
  <c r="C35" i="8"/>
  <c r="C36" i="8"/>
  <c r="C37" i="8"/>
  <c r="C38" i="8"/>
  <c r="C39" i="8"/>
  <c r="C40" i="8"/>
  <c r="C41" i="8"/>
  <c r="C42" i="8"/>
  <c r="C43" i="8"/>
  <c r="C44" i="8"/>
  <c r="C45" i="8"/>
  <c r="C46" i="8"/>
  <c r="C47" i="8"/>
  <c r="C48" i="8"/>
  <c r="C49" i="8"/>
  <c r="C50" i="8"/>
  <c r="C66" i="8"/>
  <c r="C51" i="8"/>
  <c r="C52" i="8"/>
  <c r="C53" i="8"/>
  <c r="C54" i="8"/>
  <c r="C55" i="8"/>
  <c r="C56" i="8"/>
  <c r="C57" i="8"/>
  <c r="C58" i="8"/>
  <c r="C116" i="8"/>
  <c r="C59" i="8"/>
  <c r="C117" i="8"/>
  <c r="C118" i="8"/>
  <c r="C81" i="8"/>
  <c r="G81" i="8"/>
  <c r="G90" i="8"/>
  <c r="G77" i="8"/>
  <c r="G73" i="8"/>
  <c r="G68" i="8"/>
  <c r="G92" i="8"/>
  <c r="G74" i="8"/>
  <c r="G94" i="8"/>
  <c r="G69" i="8"/>
  <c r="G98" i="8"/>
  <c r="G91" i="8"/>
  <c r="G70" i="8"/>
  <c r="G67" i="8"/>
  <c r="G80" i="8"/>
  <c r="G88" i="8"/>
  <c r="G61" i="8"/>
  <c r="G62" i="8"/>
  <c r="G60" i="8"/>
  <c r="G78" i="8"/>
  <c r="G76" i="8"/>
  <c r="G99" i="8"/>
  <c r="G2" i="8"/>
  <c r="G93" i="8"/>
  <c r="G83" i="8"/>
  <c r="G87" i="8"/>
  <c r="G75" i="8"/>
  <c r="G97" i="8"/>
  <c r="G96" i="8"/>
  <c r="G89" i="8"/>
  <c r="G3" i="8"/>
  <c r="G85" i="8"/>
  <c r="G72" i="8"/>
  <c r="G86" i="8"/>
  <c r="G71" i="8"/>
  <c r="G79" i="8"/>
  <c r="G64" i="8"/>
  <c r="G63" i="8"/>
  <c r="G84" i="8"/>
  <c r="G82" i="8"/>
  <c r="G4" i="8"/>
  <c r="G5" i="8"/>
  <c r="G6" i="8"/>
  <c r="G7" i="8"/>
  <c r="G8" i="8"/>
  <c r="G9" i="8"/>
  <c r="G10" i="8"/>
  <c r="G11" i="8"/>
  <c r="G12" i="8"/>
  <c r="G13" i="8"/>
  <c r="G14" i="8"/>
  <c r="G15" i="8"/>
  <c r="G16" i="8"/>
  <c r="G17" i="8"/>
  <c r="G18" i="8"/>
  <c r="G19" i="8"/>
  <c r="G20" i="8"/>
  <c r="G21" i="8"/>
  <c r="G22" i="8"/>
  <c r="G23" i="8"/>
  <c r="G24" i="8"/>
  <c r="G109" i="8"/>
  <c r="G100" i="8"/>
  <c r="G114" i="8"/>
  <c r="G106" i="8"/>
  <c r="G107" i="8"/>
  <c r="G105" i="8"/>
  <c r="G112" i="8"/>
  <c r="G110" i="8"/>
  <c r="G101" i="8"/>
  <c r="G108" i="8"/>
  <c r="G102" i="8"/>
  <c r="G111" i="8"/>
  <c r="G103" i="8"/>
  <c r="G113" i="8"/>
  <c r="G115" i="8"/>
  <c r="G25" i="8"/>
  <c r="G26" i="8"/>
  <c r="G27" i="8"/>
  <c r="G28" i="8"/>
  <c r="G104" i="8"/>
  <c r="G65" i="8"/>
  <c r="G29" i="8"/>
  <c r="G30" i="8"/>
  <c r="G95" i="8"/>
  <c r="G31" i="8"/>
  <c r="G32" i="8"/>
  <c r="G33" i="8"/>
  <c r="G34" i="8"/>
  <c r="G35" i="8"/>
  <c r="G36" i="8"/>
  <c r="G37" i="8"/>
  <c r="G38" i="8"/>
  <c r="G39" i="8"/>
  <c r="G40" i="8"/>
  <c r="G41" i="8"/>
  <c r="G42" i="8"/>
  <c r="G43" i="8"/>
  <c r="G44" i="8"/>
  <c r="G45" i="8"/>
  <c r="G46" i="8"/>
  <c r="G47" i="8"/>
  <c r="G48" i="8"/>
  <c r="G49" i="8"/>
  <c r="G50" i="8"/>
  <c r="G66" i="8"/>
  <c r="G51" i="8"/>
  <c r="G52" i="8"/>
  <c r="G53" i="8"/>
  <c r="G54" i="8"/>
  <c r="G55" i="8"/>
  <c r="G56" i="8"/>
  <c r="G57" i="8"/>
  <c r="G58" i="8"/>
  <c r="G116" i="8"/>
  <c r="G59" i="8"/>
  <c r="G117" i="8"/>
  <c r="G118" i="8"/>
  <c r="J81" i="8"/>
  <c r="J90" i="8"/>
  <c r="J77" i="8"/>
  <c r="J73" i="8"/>
  <c r="J68" i="8"/>
  <c r="J92" i="8"/>
  <c r="J74" i="8"/>
  <c r="J94" i="8"/>
  <c r="J69" i="8"/>
  <c r="J98" i="8"/>
  <c r="J91" i="8"/>
  <c r="J70" i="8"/>
  <c r="J67" i="8"/>
  <c r="J80" i="8"/>
  <c r="J88" i="8"/>
  <c r="J61" i="8"/>
  <c r="J62" i="8"/>
  <c r="J60" i="8"/>
  <c r="J78" i="8"/>
  <c r="J76" i="8"/>
  <c r="J99" i="8"/>
  <c r="J2" i="8"/>
  <c r="J93" i="8"/>
  <c r="J83" i="8"/>
  <c r="J87" i="8"/>
  <c r="J75" i="8"/>
  <c r="J97" i="8"/>
  <c r="J96" i="8"/>
  <c r="J89" i="8"/>
  <c r="J3" i="8"/>
  <c r="J85" i="8"/>
  <c r="J72" i="8"/>
  <c r="J86" i="8"/>
  <c r="J71" i="8"/>
  <c r="J79" i="8"/>
  <c r="J64" i="8"/>
  <c r="J63" i="8"/>
  <c r="J84" i="8"/>
  <c r="J82" i="8"/>
  <c r="J4" i="8"/>
  <c r="J5" i="8"/>
  <c r="J6" i="8"/>
  <c r="J7" i="8"/>
  <c r="J8" i="8"/>
  <c r="J9" i="8"/>
  <c r="J10" i="8"/>
  <c r="J11" i="8"/>
  <c r="J12" i="8"/>
  <c r="J13" i="8"/>
  <c r="J14" i="8"/>
  <c r="J15" i="8"/>
  <c r="J16" i="8"/>
  <c r="J17" i="8"/>
  <c r="J18" i="8"/>
  <c r="J19" i="8"/>
  <c r="J20" i="8"/>
  <c r="J21" i="8"/>
  <c r="J22" i="8"/>
  <c r="J23" i="8"/>
  <c r="J24" i="8"/>
  <c r="J109" i="8"/>
  <c r="J100" i="8"/>
  <c r="J114" i="8"/>
  <c r="J106" i="8"/>
  <c r="J107" i="8"/>
  <c r="J105" i="8"/>
  <c r="J112" i="8"/>
  <c r="J110" i="8"/>
  <c r="J101" i="8"/>
  <c r="J108" i="8"/>
  <c r="J102" i="8"/>
  <c r="J111" i="8"/>
  <c r="J103" i="8"/>
  <c r="J113" i="8"/>
  <c r="J115" i="8"/>
  <c r="J25" i="8"/>
  <c r="J26" i="8"/>
  <c r="J27" i="8"/>
  <c r="J28" i="8"/>
  <c r="J104" i="8"/>
  <c r="J65" i="8"/>
  <c r="J29" i="8"/>
  <c r="J30" i="8"/>
  <c r="J95" i="8"/>
  <c r="J31" i="8"/>
  <c r="J32" i="8"/>
  <c r="J33" i="8"/>
  <c r="J34" i="8"/>
  <c r="J35" i="8"/>
  <c r="J36" i="8"/>
  <c r="J37" i="8"/>
  <c r="J38" i="8"/>
  <c r="J39" i="8"/>
  <c r="J40" i="8"/>
  <c r="J41" i="8"/>
  <c r="J42" i="8"/>
  <c r="J43" i="8"/>
  <c r="J44" i="8"/>
  <c r="J45" i="8"/>
  <c r="J46" i="8"/>
  <c r="J47" i="8"/>
  <c r="J48" i="8"/>
  <c r="J49" i="8"/>
  <c r="J50" i="8"/>
  <c r="J66" i="8"/>
  <c r="J51" i="8"/>
  <c r="J52" i="8"/>
  <c r="J53" i="8"/>
  <c r="J54" i="8"/>
  <c r="J55" i="8"/>
  <c r="J56" i="8"/>
  <c r="J57" i="8"/>
  <c r="J58" i="8"/>
  <c r="J116" i="8"/>
  <c r="J59" i="8"/>
  <c r="J117" i="8"/>
  <c r="J118" i="8"/>
  <c r="E81" i="8"/>
  <c r="E90" i="8"/>
  <c r="E77" i="8"/>
  <c r="E73" i="8"/>
  <c r="E68" i="8"/>
  <c r="E92" i="8"/>
  <c r="E74" i="8"/>
  <c r="E94" i="8"/>
  <c r="E69" i="8"/>
  <c r="E98" i="8"/>
  <c r="E91" i="8"/>
  <c r="E70" i="8"/>
  <c r="E67" i="8"/>
  <c r="E80" i="8"/>
  <c r="E88" i="8"/>
  <c r="E61" i="8"/>
  <c r="E62" i="8"/>
  <c r="E60" i="8"/>
  <c r="E78" i="8"/>
  <c r="E76" i="8"/>
  <c r="E99" i="8"/>
  <c r="E2" i="8"/>
  <c r="E93" i="8"/>
  <c r="E83" i="8"/>
  <c r="E87" i="8"/>
  <c r="E75" i="8"/>
  <c r="E97" i="8"/>
  <c r="E96" i="8"/>
  <c r="E89" i="8"/>
  <c r="E3" i="8"/>
  <c r="E85" i="8"/>
  <c r="E72" i="8"/>
  <c r="E86" i="8"/>
  <c r="E71" i="8"/>
  <c r="E79" i="8"/>
  <c r="E64" i="8"/>
  <c r="E63" i="8"/>
  <c r="E84" i="8"/>
  <c r="E82" i="8"/>
  <c r="E4" i="8"/>
  <c r="E5" i="8"/>
  <c r="E6" i="8"/>
  <c r="E7" i="8"/>
  <c r="E8" i="8"/>
  <c r="E9" i="8"/>
  <c r="E10" i="8"/>
  <c r="E11" i="8"/>
  <c r="E12" i="8"/>
  <c r="E13" i="8"/>
  <c r="E14" i="8"/>
  <c r="E15" i="8"/>
  <c r="E16" i="8"/>
  <c r="E17" i="8"/>
  <c r="E18" i="8"/>
  <c r="E19" i="8"/>
  <c r="E20" i="8"/>
  <c r="E21" i="8"/>
  <c r="E22" i="8"/>
  <c r="E23" i="8"/>
  <c r="E24" i="8"/>
  <c r="E109" i="8"/>
  <c r="E100" i="8"/>
  <c r="E114" i="8"/>
  <c r="E106" i="8"/>
  <c r="E107" i="8"/>
  <c r="E105" i="8"/>
  <c r="E112" i="8"/>
  <c r="E110" i="8"/>
  <c r="E101" i="8"/>
  <c r="E108" i="8"/>
  <c r="E102" i="8"/>
  <c r="E111" i="8"/>
  <c r="E103" i="8"/>
  <c r="E113" i="8"/>
  <c r="E115" i="8"/>
  <c r="E25" i="8"/>
  <c r="E26" i="8"/>
  <c r="E27" i="8"/>
  <c r="E28" i="8"/>
  <c r="E104" i="8"/>
  <c r="E65" i="8"/>
  <c r="E29" i="8"/>
  <c r="E30" i="8"/>
  <c r="E95" i="8"/>
  <c r="E31" i="8"/>
  <c r="E32" i="8"/>
  <c r="E33" i="8"/>
  <c r="E34" i="8"/>
  <c r="E35" i="8"/>
  <c r="E36" i="8"/>
  <c r="E37" i="8"/>
  <c r="E38" i="8"/>
  <c r="E39" i="8"/>
  <c r="E40" i="8"/>
  <c r="E41" i="8"/>
  <c r="E42" i="8"/>
  <c r="E43" i="8"/>
  <c r="E44" i="8"/>
  <c r="E45" i="8"/>
  <c r="E46" i="8"/>
  <c r="E47" i="8"/>
  <c r="E48" i="8"/>
  <c r="E49" i="8"/>
  <c r="E50" i="8"/>
  <c r="E66" i="8"/>
  <c r="E51" i="8"/>
  <c r="E52" i="8"/>
  <c r="E53" i="8"/>
  <c r="E54" i="8"/>
  <c r="E55" i="8"/>
  <c r="E56" i="8"/>
  <c r="E57" i="8"/>
  <c r="E58" i="8"/>
  <c r="E116" i="8"/>
  <c r="E59" i="8"/>
  <c r="E117" i="8"/>
  <c r="E118" i="8"/>
  <c r="P37" i="8" l="1"/>
  <c r="P15" i="8"/>
  <c r="P30" i="8" a="1"/>
  <c r="P42" i="8"/>
  <c r="P12" i="8"/>
  <c r="P40" i="8"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C8078E-4AC1-4A0F-8DE2-876C85D54FBA}" keepAlive="1" name="Query - Excel_jumia_dataset" description="Connection to the 'Excel_jumia_dataset' query in the workbook." type="5" refreshedVersion="8" background="1" saveData="1">
    <dbPr connection="Provider=Microsoft.Mashup.OleDb.1;Data Source=$Workbook$;Location=Excel_jumia_dataset;Extended Properties=&quot;&quot;" command="SELECT * FROM [Excel_jumia_dataset]"/>
  </connection>
  <connection id="2" xr16:uid="{16C0BC0B-1670-4FBF-A827-41A49AB255E1}" keepAlive="1" name="Query - Excel_jumia_dataset (2)" description="Connection to the 'Excel_jumia_dataset (2)' query in the workbook." type="5" refreshedVersion="8" background="1" saveData="1">
    <dbPr connection="Provider=Microsoft.Mashup.OleDb.1;Data Source=$Workbook$;Location=&quot;Excel_jumia_dataset (2)&quot;;Extended Properties=&quot;&quot;" command="SELECT * FROM [Excel_jumia_dataset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<sst xmlns="http://schemas.openxmlformats.org/spreadsheetml/2006/main" count="757" uniqueCount="416">
  <si>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</si>
  <si>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</si>
  <si>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</si>
  <si>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</si>
  <si>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</si>
  <si>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</si>
  <si>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</si>
  <si>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</si>
  <si>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</si>
  <si>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</si>
  <si>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</si>
  <si>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</si>
  <si>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</si>
  <si>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</si>
  <si>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</si>
  <si>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</si>
  <si>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</si>
  <si>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</si>
  <si>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</si>
  <si>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</si>
  <si>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</si>
  <si>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</si>
  <si>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</si>
  <si>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</si>
  <si>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</si>
  <si>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</si>
  <si>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</si>
  <si>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</si>
  <si>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</si>
  <si>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</si>
  <si>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</si>
  <si>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</si>
  <si>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</si>
  <si>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</si>
  <si>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</si>
  <si>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</si>
  <si>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</si>
  <si>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</si>
  <si>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</si>
  <si>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</si>
  <si>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</si>
  <si>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</si>
  <si>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</si>
  <si>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</si>
  <si>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</si>
  <si>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</si>
  <si>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</si>
  <si>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</si>
  <si>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</si>
  <si>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</si>
  <si>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</si>
  <si>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</si>
  <si>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</si>
  <si>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</si>
  <si>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</si>
  <si>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</si>
  <si>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</si>
  <si>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</si>
  <si>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</si>
  <si>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</si>
  <si>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</si>
  <si>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</si>
  <si>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</si>
  <si>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</si>
  <si>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</si>
  <si>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</si>
  <si>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</si>
  <si>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</si>
  <si>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</si>
  <si>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</si>
  <si>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</si>
  <si>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</si>
  <si>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</si>
  <si>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</si>
  <si>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</si>
  <si>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</si>
  <si>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</si>
  <si>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</si>
  <si>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</si>
  <si>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</si>
  <si>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</si>
  <si>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</si>
  <si>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</si>
  <si>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</si>
  <si>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</si>
  <si>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</si>
  <si>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</si>
  <si>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</si>
  <si>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</si>
  <si>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</si>
  <si>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</si>
  <si>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</si>
  <si>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</si>
  <si>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</si>
  <si>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</si>
  <si>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</si>
  <si>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</si>
  <si>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</si>
  <si>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</si>
  <si>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</si>
  <si>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</si>
  <si>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</si>
  <si>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</si>
  <si>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</si>
  <si>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</si>
  <si>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</si>
  <si>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</si>
  <si>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</si>
  <si>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</si>
  <si>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</si>
  <si>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</si>
  <si>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</si>
  <si>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</si>
  <si>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</si>
  <si>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</si>
  <si>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</si>
  <si>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</si>
  <si>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</si>
  <si>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</si>
  <si>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</si>
  <si>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</si>
  <si>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</si>
  <si>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</si>
  <si>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</si>
  <si>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</si>
  <si>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</si>
  <si>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</si>
  <si>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</si>
  <si>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</si>
  <si>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</si>
  <si>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</si>
  <si>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</si>
  <si>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</si>
  <si>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</si>
  <si>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</si>
  <si>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</si>
  <si>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</si>
  <si>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</si>
  <si>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</si>
  <si>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</si>
  <si>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</si>
  <si>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</si>
  <si>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</si>
  <si>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</si>
  <si>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</si>
  <si>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</si>
  <si>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</si>
  <si>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</si>
  <si>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</si>
  <si>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</si>
  <si>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</si>
  <si>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</si>
  <si>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</si>
  <si>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</si>
  <si>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</si>
  <si>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</si>
  <si>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</si>
  <si>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</si>
  <si>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</si>
  <si>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</si>
  <si>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</si>
  <si>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</si>
  <si>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</si>
  <si>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</si>
  <si>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</si>
  <si>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</si>
  <si>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</si>
  <si>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</si>
  <si>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</si>
  <si>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</si>
  <si>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</si>
  <si>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</si>
  <si>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</si>
  <si>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</si>
  <si>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</si>
  <si>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</si>
  <si>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</si>
  <si>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</si>
  <si>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</si>
  <si>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</si>
  <si>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</si>
  <si>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</si>
  <si>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</si>
  <si>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</si>
  <si>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</si>
  <si>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</si>
  <si>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</si>
  <si>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</si>
  <si>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</si>
  <si>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</si>
  <si>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</si>
  <si>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</si>
  <si>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</si>
  <si>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</si>
  <si>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</si>
  <si>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</si>
  <si>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</si>
  <si>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</si>
  <si>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</si>
  <si>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</si>
  <si>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</si>
  <si>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</si>
  <si>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</si>
  <si>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</si>
  <si>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</si>
  <si>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</si>
  <si>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</si>
  <si>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</si>
  <si>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</si>
  <si>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</si>
  <si>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</si>
  <si>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</si>
  <si>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</si>
  <si>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</si>
  <si>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</si>
  <si>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</si>
  <si>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</si>
  <si>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</si>
  <si>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</si>
  <si>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</si>
  <si>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</si>
  <si>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</si>
  <si>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</si>
  <si>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</si>
  <si>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</si>
  <si>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</si>
  <si>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</si>
  <si>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</si>
  <si>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</si>
  <si>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</si>
  <si>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</si>
  <si>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</si>
  <si>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</si>
  <si>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</si>
  <si>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</si>
  <si>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</si>
  <si>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</si>
  <si>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</si>
  <si>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</si>
  <si>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</si>
  <si>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</si>
  <si>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</si>
  <si>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</si>
  <si>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</si>
  <si>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</si>
  <si>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</si>
  <si>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</si>
  <si>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</si>
  <si>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</si>
  <si>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</si>
  <si>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</si>
  <si>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</si>
  <si>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</si>
  <si>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</si>
  <si>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</si>
  <si>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</si>
  <si>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</si>
  <si>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</si>
  <si>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</si>
  <si>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</si>
  <si>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</si>
  <si>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</si>
  <si>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</si>
  <si>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</si>
  <si>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</si>
  <si>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</si>
  <si>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</si>
  <si>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</si>
  <si>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</si>
  <si>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</si>
  <si>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</si>
  <si>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</si>
  <si>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</si>
  <si>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</si>
  <si>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</si>
  <si>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</si>
  <si>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</si>
  <si>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</si>
  <si>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</si>
  <si>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</si>
  <si>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</si>
  <si>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</si>
  <si>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</si>
  <si>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</si>
  <si>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</si>
  <si>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</si>
  <si>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</si>
  <si>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</si>
  <si>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</si>
  <si>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</si>
  <si>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</si>
  <si>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</si>
  <si>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</si>
  <si>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</si>
  <si>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</si>
  <si>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</si>
  <si>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</si>
  <si>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</si>
  <si>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</si>
  <si>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</si>
  <si>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</si>
  <si>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</si>
  <si>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</si>
  <si>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</si>
  <si>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</si>
  <si>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</si>
  <si>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</si>
  <si>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</si>
  <si>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</si>
  <si>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</si>
  <si>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</si>
  <si>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</si>
  <si>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</si>
  <si>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</si>
  <si>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</si>
  <si>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</si>
  <si>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</si>
  <si>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</si>
  <si>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</si>
  <si>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</si>
  <si>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</si>
  <si>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</si>
  <si>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</si>
  <si>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</si>
  <si>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Columns</t>
  </si>
  <si>
    <t>Rows</t>
  </si>
  <si>
    <t>Current Price</t>
  </si>
  <si>
    <t>Old Price</t>
  </si>
  <si>
    <t>Reviews</t>
  </si>
  <si>
    <t>Ratings</t>
  </si>
  <si>
    <t>Blanks In each Column.</t>
  </si>
  <si>
    <t xml:space="preserve"> Rows and Column.</t>
  </si>
  <si>
    <t>Duplicates</t>
  </si>
  <si>
    <t>Find Nonumeric reviews.</t>
  </si>
  <si>
    <t>Nonumeric Discounts.</t>
  </si>
  <si>
    <t>Nonumeric Reviews.</t>
  </si>
  <si>
    <t>Nonumeric Prices.</t>
  </si>
  <si>
    <t>NonumericRatings.</t>
  </si>
  <si>
    <t>Discount outside 0%-100%</t>
  </si>
  <si>
    <t>Negative Review.</t>
  </si>
  <si>
    <t>Current Price Greater than Old Price.</t>
  </si>
  <si>
    <t>Column1</t>
  </si>
  <si>
    <t>Rating Outside 0-5</t>
  </si>
  <si>
    <t>Weighing Scale Digital Bathroom Body Fat Scale Usb-Black</t>
  </si>
  <si>
    <t>Lasa Folding Table Serving Stand</t>
  </si>
  <si>
    <t>Genebre 115 In 1 Screwdriver Repairing Tool Set For Iphone Cellphone Hand Tool</t>
  </si>
  <si>
    <t>40Cm Gold Diy Acrylic Wall Sticker Clock</t>
  </si>
  <si>
    <t>Lasa Digital Thermometer And Hydrometer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</si>
  <si>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</si>
  <si>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</si>
  <si>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</si>
  <si>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</si>
  <si>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</si>
  <si>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</si>
  <si>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Lasa 3 Tier Bamboo Shoe Bench Storage Shelf</t>
  </si>
  <si>
    <t>Multifunctional Storage Rack Multi-Layer Bookshelf</t>
  </si>
  <si>
    <t>Led Eye Protection  Desk Lamp , Study, Reading, Usb Fan - Double Pen Holder</t>
  </si>
  <si>
    <t>Diy File Folder, Office Drawer File Holder, Pen Holder, Desktop Storage Rack</t>
  </si>
  <si>
    <t>Punch-Free Great Load Bearing Bathroom Storage Rack Wall Shelf-White</t>
  </si>
  <si>
    <t>Lasa Stainless Steel Double Wall Mount Soap Dispenser - 500Ml</t>
  </si>
  <si>
    <t>Modern Sofa Throw Pillow Cover-45X45Cm-Blue&amp;Red</t>
  </si>
  <si>
    <t>Balloon Insert, Birthday Party Balloon Set, Pu Leather</t>
  </si>
  <si>
    <t>2Pcs Solar Street Light Flood Light Outdoor</t>
  </si>
  <si>
    <t>Multi-Purpose Rice Drainage Basket And Fruit And Vegetable Drainage Sieve</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</si>
  <si>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</si>
  <si>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</si>
  <si>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</si>
  <si>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</si>
  <si>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Intelligent  Led Body Sensor Wireless Lighting Night Light Usb</t>
  </si>
  <si>
    <t>Vic Wireless Vacuum Cleaner Dual Use For Home And Car 120W High Power Powerful</t>
  </si>
  <si>
    <t>380Ml Usb Rechargeable Portable Small Blenders And Juicers</t>
  </si>
  <si>
    <t>32Pcs Portable Cordless Drill Set With Cyclic Battery Drive -26 Variable Speed</t>
  </si>
  <si>
    <t>Large Lazy Inflatable Sofa Chairs Pvc Lounger Seat Bag</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</si>
  <si>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</si>
  <si>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</si>
  <si>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</si>
  <si>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</si>
  <si>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7Pcs Silicone Thumb Knife Finger Protector Vegetable Harvesting Knife</t>
  </si>
  <si>
    <t>Memory Foam Neck Pillow Cover, With Pillow Core - 50*30Cm</t>
  </si>
  <si>
    <t>5M Waterproof Spherical Led String Lights Outdoor Ball Chain Lights Party Lighting Decoration Adjustable</t>
  </si>
  <si>
    <t>Outdoor Portable Water Bottle With Medicine Box - 600Ml - Black</t>
  </si>
  <si>
    <t>2Pcs Ice Silk Square Cushion Cover Pillowcases - 65X65Cm</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</si>
  <si>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</si>
  <si>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</si>
  <si>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</si>
  <si>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</si>
  <si>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</si>
  <si>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</si>
  <si>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</si>
  <si>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Wall-Mounted Sticker Punch-Free Plug Fixer</t>
  </si>
  <si>
    <t>Average.</t>
  </si>
  <si>
    <t>Maximum</t>
  </si>
  <si>
    <t>Minimum</t>
  </si>
  <si>
    <t>Row Labels</t>
  </si>
  <si>
    <t>(blank)</t>
  </si>
  <si>
    <t>Grand Total</t>
  </si>
  <si>
    <t>Count of Product</t>
  </si>
  <si>
    <t>Average of Reviews</t>
  </si>
  <si>
    <t>Sum of Current Price</t>
  </si>
  <si>
    <t>Old Price.</t>
  </si>
  <si>
    <t>Discount Amount.</t>
  </si>
  <si>
    <t>Discount Category.</t>
  </si>
  <si>
    <t>Rating Category.</t>
  </si>
  <si>
    <t>Price Category.</t>
  </si>
  <si>
    <t>Total Number of Products.</t>
  </si>
  <si>
    <t>Average</t>
  </si>
  <si>
    <t>Excellent</t>
  </si>
  <si>
    <t>Poor</t>
  </si>
  <si>
    <t>High Price</t>
  </si>
  <si>
    <t>Low Price</t>
  </si>
  <si>
    <t>Medium Price</t>
  </si>
  <si>
    <t>Average of Ratings</t>
  </si>
  <si>
    <t>Average of Old Price.</t>
  </si>
  <si>
    <t>Low Discount</t>
  </si>
  <si>
    <t>Medium Discount</t>
  </si>
  <si>
    <t>Count of Price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</si>
</sst>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Ksh-441]#,##0.00"/>
    <numFmt numFmtId="170" formatCode="[$Ksh-441]#,##0.00;\-[$Ksh-441]#,##0.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2"/>
      <color theme="5" tint="-0.249977111117893"/>
      <name val="Calibri"/>
      <family val="2"/>
      <scheme val="minor"/>
    </font>
    <font>
      <sz val="11"/>
      <color theme="5" tint="-0.249977111117893"/>
      <name val="Calibri"/>
      <family val="2"/>
      <scheme val="minor"/>
    </font>
    <font>
      <b/>
      <sz val="11"/>
      <color theme="5" tint="-0.249977111117893"/>
      <name val="Calibri"/>
      <family val="2"/>
      <scheme val="minor"/>
    </font>
    <font>
      <b/>
      <sz val="14"/>
      <color theme="5" tint="-0.249977111117893"/>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applyNumberFormat="1"/>
    <xf numFmtId="9" fontId="0" fillId="0" borderId="0" xfId="1" applyFont="1"/>
    <xf numFmtId="168" fontId="0" fillId="0" borderId="0" xfId="0" applyNumberFormat="1"/>
    <xf numFmtId="0" fontId="2" fillId="3" borderId="1" xfId="0" applyFont="1" applyFill="1" applyBorder="1"/>
    <xf numFmtId="0" fontId="0" fillId="0" borderId="0" xfId="0" pivotButton="1"/>
    <xf numFmtId="0" fontId="0" fillId="0" borderId="0" xfId="0" applyAlignment="1">
      <alignment horizontal="left"/>
    </xf>
    <xf numFmtId="0" fontId="0" fillId="4" borderId="0" xfId="0" applyFill="1"/>
    <xf numFmtId="0" fontId="0" fillId="4" borderId="0" xfId="0" applyFont="1" applyFill="1"/>
    <xf numFmtId="9" fontId="0" fillId="4" borderId="0" xfId="1" applyFont="1" applyFill="1"/>
    <xf numFmtId="170" fontId="0" fillId="4" borderId="0" xfId="0" applyNumberFormat="1" applyFont="1" applyFill="1"/>
    <xf numFmtId="170" fontId="0" fillId="0" borderId="0" xfId="0" applyNumberFormat="1"/>
    <xf numFmtId="168" fontId="0" fillId="4" borderId="0" xfId="0" applyNumberFormat="1" applyFont="1" applyFill="1"/>
    <xf numFmtId="0" fontId="0" fillId="4" borderId="0" xfId="1" applyNumberFormat="1" applyFont="1" applyFill="1"/>
    <xf numFmtId="0" fontId="0" fillId="0" borderId="0" xfId="1" applyNumberFormat="1" applyFont="1"/>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170" fontId="2" fillId="3" borderId="1" xfId="0" applyNumberFormat="1" applyFont="1" applyFill="1" applyBorder="1"/>
    <xf numFmtId="168" fontId="2" fillId="3" borderId="1" xfId="0" applyNumberFormat="1" applyFont="1" applyFill="1" applyBorder="1"/>
    <xf numFmtId="0" fontId="2" fillId="3" borderId="1" xfId="1" applyNumberFormat="1" applyFont="1" applyFill="1" applyBorder="1"/>
    <xf numFmtId="9" fontId="2" fillId="3" borderId="1" xfId="1" applyFont="1" applyFill="1" applyBorder="1"/>
    <xf numFmtId="0" fontId="2" fillId="3" borderId="1" xfId="0" applyNumberFormat="1" applyFont="1" applyFill="1" applyBorder="1"/>
  </cellXfs>
  <cellStyles count="2">
    <cellStyle name="Normal" xfId="0" builtinId="0"/>
    <cellStyle name="Percent" xfId="1" builtinId="5"/>
  </cellStyles>
  <dxfs count="12">
    <dxf>
      <numFmt numFmtId="0" formatCode="General"/>
    </dxf>
    <dxf>
      <numFmt numFmtId="168" formatCode="[$Ksh-441]#,##0.00"/>
    </dxf>
    <dxf>
      <numFmt numFmtId="168" formatCode="[$Ksh-441]#,##0.00"/>
    </dxf>
    <dxf>
      <numFmt numFmtId="170" formatCode="[$Ksh-441]#,##0.00;\-[$Ksh-441]#,##0.00"/>
    </dxf>
    <dxf>
      <numFmt numFmtId="0" formatCode="General"/>
    </dxf>
    <dxf>
      <font>
        <b val="0"/>
        <i val="0"/>
        <strike val="0"/>
        <condense val="0"/>
        <extend val="0"/>
        <outline val="0"/>
        <shadow val="0"/>
        <u val="none"/>
        <vertAlign val="baseline"/>
        <sz val="11"/>
        <color theme="1"/>
        <name val="Calibri"/>
        <family val="2"/>
        <scheme val="minor"/>
      </font>
      <numFmt numFmtId="13" formatCode="0%"/>
    </dxf>
    <dxf>
      <numFmt numFmtId="0" formatCode="General"/>
    </dxf>
    <dxf>
      <font>
        <strike val="0"/>
        <outline val="0"/>
        <shadow val="0"/>
        <u val="none"/>
        <vertAlign val="baseline"/>
        <sz val="11"/>
        <color theme="1"/>
        <name val="Calibri"/>
        <family val="2"/>
        <scheme val="minor"/>
      </font>
      <fill>
        <patternFill patternType="solid">
          <fgColor indexed="64"/>
          <bgColor theme="9" tint="0.59999389629810485"/>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Cleaned..xlsx]Current Price with Rating.!PivotTable55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Rating</a:t>
            </a:r>
            <a:r>
              <a:rPr lang="en-US" baseline="0">
                <a:solidFill>
                  <a:schemeClr val="accent1"/>
                </a:solidFill>
              </a:rPr>
              <a:t> with average Current Price.</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'Current Price with Rating.'!$B$3</c:f>
              <c:strCache>
                <c:ptCount val="1"/>
                <c:pt idx="0">
                  <c:v>Total</c:v>
                </c:pt>
              </c:strCache>
            </c:strRef>
          </c:tx>
          <c:spPr>
            <a:solidFill>
              <a:schemeClr val="accent1"/>
            </a:solidFill>
            <a:ln>
              <a:noFill/>
            </a:ln>
            <a:effectLst/>
          </c:spPr>
          <c:invertIfNegative val="0"/>
          <c:cat>
            <c:strRef>
              <c:f>'Current Price with Rating.'!$A$4:$A$14</c:f>
              <c:strCache>
                <c:ptCount val="10"/>
                <c:pt idx="0">
                  <c:v>2.1</c:v>
                </c:pt>
                <c:pt idx="1">
                  <c:v>3</c:v>
                </c:pt>
                <c:pt idx="2">
                  <c:v>3.8</c:v>
                </c:pt>
                <c:pt idx="3">
                  <c:v>4</c:v>
                </c:pt>
                <c:pt idx="4">
                  <c:v>4.3</c:v>
                </c:pt>
                <c:pt idx="5">
                  <c:v>4.5</c:v>
                </c:pt>
                <c:pt idx="6">
                  <c:v>4.6</c:v>
                </c:pt>
                <c:pt idx="7">
                  <c:v>4.7</c:v>
                </c:pt>
                <c:pt idx="8">
                  <c:v>5</c:v>
                </c:pt>
              </c:strCache>
            </c:strRef>
          </c:cat>
          <c:val>
            <c:numRef>
              <c:f>'Current Price with Rating.'!$B$4:$B$14</c:f>
              <c:numCache>
                <c:formatCode>General</c:formatCode>
                <c:ptCount val="10"/>
                <c:pt idx="0">
                  <c:v>3685</c:v>
                </c:pt>
                <c:pt idx="1">
                  <c:v>8206</c:v>
                </c:pt>
                <c:pt idx="2">
                  <c:v>5830</c:v>
                </c:pt>
                <c:pt idx="3">
                  <c:v>5197</c:v>
                </c:pt>
                <c:pt idx="4">
                  <c:v>4442</c:v>
                </c:pt>
                <c:pt idx="5">
                  <c:v>5231</c:v>
                </c:pt>
                <c:pt idx="6">
                  <c:v>8935</c:v>
                </c:pt>
                <c:pt idx="7">
                  <c:v>5490</c:v>
                </c:pt>
                <c:pt idx="8">
                  <c:v>8962</c:v>
                </c:pt>
                <c:pt idx="9">
                  <c:v>60760</c:v>
                </c:pt>
              </c:numCache>
            </c:numRef>
          </c:val>
          <c:extLst>
            <c:ext xmlns:c16="http://schemas.microsoft.com/office/drawing/2014/chart" uri="{C3380CC4-5D6E-409C-BE32-E72D297353CC}">
              <c16:uniqueId val="{00000000-E73A-49D8-81AC-55CAEEC12B41}"/>
            </c:ext>
          </c:extLst>
        </c:ser>
        <c:dLbls>
          <c:showLegendKey val="0"/>
          <c:showVal val="0"/>
          <c:showCatName val="0"/>
          <c:showSerName val="0"/>
          <c:showPercent val="0"/>
          <c:showBubbleSize val="0"/>
        </c:dLbls>
        <c:gapWidth val="219"/>
        <c:overlap val="-27"/>
        <c:axId val="788177856"/>
        <c:axId val="1635484528"/>
      </c:barChart>
      <c:catAx>
        <c:axId val="78817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84528"/>
        <c:crosses val="autoZero"/>
        <c:auto val="1"/>
        <c:lblAlgn val="ctr"/>
        <c:lblOffset val="100"/>
        <c:noMultiLvlLbl val="0"/>
      </c:catAx>
      <c:valAx>
        <c:axId val="163548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Cleaned..xlsx]Average Reviews and Rating.!PivotTable27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Relationship Between Average Reviews and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Reviews and Rating.'!$B$3</c:f>
              <c:strCache>
                <c:ptCount val="1"/>
                <c:pt idx="0">
                  <c:v>Total</c:v>
                </c:pt>
              </c:strCache>
            </c:strRef>
          </c:tx>
          <c:spPr>
            <a:solidFill>
              <a:schemeClr val="accent4"/>
            </a:solidFill>
            <a:ln>
              <a:noFill/>
            </a:ln>
            <a:effectLst/>
          </c:spPr>
          <c:invertIfNegative val="0"/>
          <c:cat>
            <c:strRef>
              <c:f>'Average Reviews and Rating.'!$A$4:$A$14</c:f>
              <c:strCache>
                <c:ptCount val="10"/>
                <c:pt idx="0">
                  <c:v>2.6</c:v>
                </c:pt>
                <c:pt idx="1">
                  <c:v>2.7</c:v>
                </c:pt>
                <c:pt idx="2">
                  <c:v>2.8</c:v>
                </c:pt>
                <c:pt idx="3">
                  <c:v>2.9</c:v>
                </c:pt>
                <c:pt idx="4">
                  <c:v>3.3</c:v>
                </c:pt>
                <c:pt idx="5">
                  <c:v>4.1</c:v>
                </c:pt>
                <c:pt idx="6">
                  <c:v>4.3</c:v>
                </c:pt>
                <c:pt idx="7">
                  <c:v>4.4</c:v>
                </c:pt>
                <c:pt idx="8">
                  <c:v>4.6</c:v>
                </c:pt>
                <c:pt idx="9">
                  <c:v>4.7</c:v>
                </c:pt>
              </c:strCache>
            </c:strRef>
          </c:cat>
          <c:val>
            <c:numRef>
              <c:f>'Average Reviews and Rating.'!$B$4:$B$14</c:f>
              <c:numCache>
                <c:formatCode>General</c:formatCode>
                <c:ptCount val="10"/>
                <c:pt idx="0">
                  <c:v>17</c:v>
                </c:pt>
                <c:pt idx="1">
                  <c:v>15</c:v>
                </c:pt>
                <c:pt idx="2">
                  <c:v>69</c:v>
                </c:pt>
                <c:pt idx="3">
                  <c:v>16</c:v>
                </c:pt>
                <c:pt idx="4">
                  <c:v>13</c:v>
                </c:pt>
                <c:pt idx="5">
                  <c:v>15.333333333333334</c:v>
                </c:pt>
                <c:pt idx="6">
                  <c:v>15.25</c:v>
                </c:pt>
                <c:pt idx="7">
                  <c:v>14</c:v>
                </c:pt>
                <c:pt idx="8">
                  <c:v>35.4</c:v>
                </c:pt>
                <c:pt idx="9">
                  <c:v>19.5</c:v>
                </c:pt>
              </c:numCache>
            </c:numRef>
          </c:val>
          <c:extLst>
            <c:ext xmlns:c16="http://schemas.microsoft.com/office/drawing/2014/chart" uri="{C3380CC4-5D6E-409C-BE32-E72D297353CC}">
              <c16:uniqueId val="{00000000-ECEE-45FD-8EA9-3D3AFE921D2B}"/>
            </c:ext>
          </c:extLst>
        </c:ser>
        <c:dLbls>
          <c:showLegendKey val="0"/>
          <c:showVal val="0"/>
          <c:showCatName val="0"/>
          <c:showSerName val="0"/>
          <c:showPercent val="0"/>
          <c:showBubbleSize val="0"/>
        </c:dLbls>
        <c:gapWidth val="219"/>
        <c:overlap val="-27"/>
        <c:axId val="1023209488"/>
        <c:axId val="1635488368"/>
      </c:barChart>
      <c:catAx>
        <c:axId val="102320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88368"/>
        <c:crosses val="autoZero"/>
        <c:auto val="1"/>
        <c:lblAlgn val="ctr"/>
        <c:lblOffset val="100"/>
        <c:noMultiLvlLbl val="0"/>
      </c:catAx>
      <c:valAx>
        <c:axId val="163548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0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Cleaned..xlsx]Discount and Average Reviews.!PivotTable28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Relationship Between Discount an</a:t>
            </a:r>
            <a:r>
              <a:rPr lang="en-US" b="1" baseline="0">
                <a:solidFill>
                  <a:schemeClr val="accent1"/>
                </a:solidFill>
              </a:rPr>
              <a:t> Average Reviews.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'Discount and Average Reviews.'!$B$3</c:f>
              <c:strCache>
                <c:ptCount val="1"/>
                <c:pt idx="0">
                  <c:v>Total</c:v>
                </c:pt>
              </c:strCache>
            </c:strRef>
          </c:tx>
          <c:spPr>
            <a:solidFill>
              <a:schemeClr val="accent1"/>
            </a:solidFill>
            <a:ln>
              <a:noFill/>
            </a:ln>
            <a:effectLst/>
          </c:spPr>
          <c:invertIfNegative val="0"/>
          <c:cat>
            <c:strRef>
              <c:f>'Discount and Average Reviews.'!$A$4:$A$17</c:f>
              <c:strCache>
                <c:ptCount val="13"/>
                <c:pt idx="0">
                  <c:v>0.09</c:v>
                </c:pt>
                <c:pt idx="1">
                  <c:v>0.18</c:v>
                </c:pt>
                <c:pt idx="2">
                  <c:v>0.2</c:v>
                </c:pt>
                <c:pt idx="3">
                  <c:v>0.23</c:v>
                </c:pt>
                <c:pt idx="4">
                  <c:v>0.24</c:v>
                </c:pt>
                <c:pt idx="5">
                  <c:v>0.25</c:v>
                </c:pt>
                <c:pt idx="6">
                  <c:v>0.27</c:v>
                </c:pt>
                <c:pt idx="7">
                  <c:v>0.3</c:v>
                </c:pt>
                <c:pt idx="8">
                  <c:v>0.32</c:v>
                </c:pt>
                <c:pt idx="9">
                  <c:v>0.34</c:v>
                </c:pt>
                <c:pt idx="10">
                  <c:v>0.35</c:v>
                </c:pt>
                <c:pt idx="11">
                  <c:v>0.41</c:v>
                </c:pt>
                <c:pt idx="12">
                  <c:v>0.52</c:v>
                </c:pt>
              </c:strCache>
            </c:strRef>
          </c:cat>
          <c:val>
            <c:numRef>
              <c:f>'Discount and Average Reviews.'!$B$4:$B$17</c:f>
              <c:numCache>
                <c:formatCode>General</c:formatCode>
                <c:ptCount val="13"/>
                <c:pt idx="0">
                  <c:v>15</c:v>
                </c:pt>
                <c:pt idx="1">
                  <c:v>12</c:v>
                </c:pt>
                <c:pt idx="2">
                  <c:v>12</c:v>
                </c:pt>
                <c:pt idx="3">
                  <c:v>14</c:v>
                </c:pt>
                <c:pt idx="4">
                  <c:v>27.5</c:v>
                </c:pt>
                <c:pt idx="5">
                  <c:v>24</c:v>
                </c:pt>
                <c:pt idx="6">
                  <c:v>17.333333333333332</c:v>
                </c:pt>
                <c:pt idx="7">
                  <c:v>20</c:v>
                </c:pt>
                <c:pt idx="8">
                  <c:v>13</c:v>
                </c:pt>
                <c:pt idx="9">
                  <c:v>12.75</c:v>
                </c:pt>
                <c:pt idx="10">
                  <c:v>27.5</c:v>
                </c:pt>
                <c:pt idx="11">
                  <c:v>12</c:v>
                </c:pt>
                <c:pt idx="12">
                  <c:v>12</c:v>
                </c:pt>
              </c:numCache>
            </c:numRef>
          </c:val>
          <c:extLst>
            <c:ext xmlns:c16="http://schemas.microsoft.com/office/drawing/2014/chart" uri="{C3380CC4-5D6E-409C-BE32-E72D297353CC}">
              <c16:uniqueId val="{00000000-462F-486D-B6B7-0A0EDB00C7D4}"/>
            </c:ext>
          </c:extLst>
        </c:ser>
        <c:dLbls>
          <c:showLegendKey val="0"/>
          <c:showVal val="0"/>
          <c:showCatName val="0"/>
          <c:showSerName val="0"/>
          <c:showPercent val="0"/>
          <c:showBubbleSize val="0"/>
        </c:dLbls>
        <c:gapWidth val="150"/>
        <c:overlap val="100"/>
        <c:axId val="1023219232"/>
        <c:axId val="1635497488"/>
      </c:barChart>
      <c:catAx>
        <c:axId val="102321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97488"/>
        <c:crosses val="autoZero"/>
        <c:auto val="1"/>
        <c:lblAlgn val="ctr"/>
        <c:lblOffset val="100"/>
        <c:noMultiLvlLbl val="0"/>
      </c:catAx>
      <c:valAx>
        <c:axId val="163549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1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Cleaned..xlsx]Average Old Price with Rating.!PivotTable30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Average Old Price with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Old Price with Rating.'!$B$3</c:f>
              <c:strCache>
                <c:ptCount val="1"/>
                <c:pt idx="0">
                  <c:v>Total</c:v>
                </c:pt>
              </c:strCache>
            </c:strRef>
          </c:tx>
          <c:spPr>
            <a:ln w="28575" cap="rnd">
              <a:solidFill>
                <a:schemeClr val="accent1"/>
              </a:solidFill>
              <a:round/>
            </a:ln>
            <a:effectLst/>
          </c:spPr>
          <c:marker>
            <c:symbol val="none"/>
          </c:marker>
          <c:cat>
            <c:strRef>
              <c:f>'Average Old Price with Rating.'!$A$4:$A$14</c:f>
              <c:strCache>
                <c:ptCount val="10"/>
                <c:pt idx="0">
                  <c:v>2.6</c:v>
                </c:pt>
                <c:pt idx="1">
                  <c:v>2.7</c:v>
                </c:pt>
                <c:pt idx="2">
                  <c:v>2.8</c:v>
                </c:pt>
                <c:pt idx="3">
                  <c:v>2.9</c:v>
                </c:pt>
                <c:pt idx="4">
                  <c:v>3.3</c:v>
                </c:pt>
                <c:pt idx="5">
                  <c:v>4.1</c:v>
                </c:pt>
                <c:pt idx="6">
                  <c:v>4.3</c:v>
                </c:pt>
                <c:pt idx="7">
                  <c:v>4.4</c:v>
                </c:pt>
                <c:pt idx="8">
                  <c:v>4.6</c:v>
                </c:pt>
                <c:pt idx="9">
                  <c:v>4.7</c:v>
                </c:pt>
              </c:strCache>
            </c:strRef>
          </c:cat>
          <c:val>
            <c:numRef>
              <c:f>'Average Old Price with Rating.'!$B$4:$B$14</c:f>
              <c:numCache>
                <c:formatCode>General</c:formatCode>
                <c:ptCount val="10"/>
                <c:pt idx="0">
                  <c:v>17</c:v>
                </c:pt>
                <c:pt idx="1">
                  <c:v>15</c:v>
                </c:pt>
                <c:pt idx="2">
                  <c:v>69</c:v>
                </c:pt>
                <c:pt idx="3">
                  <c:v>16</c:v>
                </c:pt>
                <c:pt idx="4">
                  <c:v>13</c:v>
                </c:pt>
                <c:pt idx="5">
                  <c:v>15.333333333333334</c:v>
                </c:pt>
                <c:pt idx="6">
                  <c:v>15.25</c:v>
                </c:pt>
                <c:pt idx="7">
                  <c:v>14</c:v>
                </c:pt>
                <c:pt idx="8">
                  <c:v>35.4</c:v>
                </c:pt>
                <c:pt idx="9">
                  <c:v>19.5</c:v>
                </c:pt>
              </c:numCache>
            </c:numRef>
          </c:val>
          <c:smooth val="0"/>
          <c:extLst>
            <c:ext xmlns:c16="http://schemas.microsoft.com/office/drawing/2014/chart" uri="{C3380CC4-5D6E-409C-BE32-E72D297353CC}">
              <c16:uniqueId val="{00000002-76B3-4934-8F3B-C719B391871C}"/>
            </c:ext>
          </c:extLst>
        </c:ser>
        <c:dLbls>
          <c:showLegendKey val="0"/>
          <c:showVal val="0"/>
          <c:showCatName val="0"/>
          <c:showSerName val="0"/>
          <c:showPercent val="0"/>
          <c:showBubbleSize val="0"/>
        </c:dLbls>
        <c:smooth val="0"/>
        <c:axId val="1023335696"/>
        <c:axId val="1635497968"/>
      </c:lineChart>
      <c:catAx>
        <c:axId val="102333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97968"/>
        <c:crosses val="autoZero"/>
        <c:auto val="1"/>
        <c:lblAlgn val="ctr"/>
        <c:lblOffset val="100"/>
        <c:noMultiLvlLbl val="0"/>
      </c:catAx>
      <c:valAx>
        <c:axId val="163549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3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Cleaned..xlsx]Products with Rating.!PivotTable31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Count of Products with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with Rating.'!$B$3</c:f>
              <c:strCache>
                <c:ptCount val="1"/>
                <c:pt idx="0">
                  <c:v>Total</c:v>
                </c:pt>
              </c:strCache>
            </c:strRef>
          </c:tx>
          <c:spPr>
            <a:solidFill>
              <a:schemeClr val="accent1"/>
            </a:solidFill>
            <a:ln>
              <a:noFill/>
            </a:ln>
            <a:effectLst/>
          </c:spPr>
          <c:invertIfNegative val="0"/>
          <c:cat>
            <c:strRef>
              <c:f>'Products with Rating.'!$A$4:$A$28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3">
                  <c:v>(blank)</c:v>
                </c:pt>
              </c:strCache>
            </c:strRef>
          </c:cat>
          <c:val>
            <c:numRef>
              <c:f>'Products with Rating.'!$B$4:$B$28</c:f>
              <c:numCache>
                <c:formatCode>General</c:formatCode>
                <c:ptCount val="24"/>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58</c:v>
                </c:pt>
              </c:numCache>
            </c:numRef>
          </c:val>
          <c:extLst>
            <c:ext xmlns:c16="http://schemas.microsoft.com/office/drawing/2014/chart" uri="{C3380CC4-5D6E-409C-BE32-E72D297353CC}">
              <c16:uniqueId val="{00000000-3B52-4F8B-81C4-DC323E8F611B}"/>
            </c:ext>
          </c:extLst>
        </c:ser>
        <c:dLbls>
          <c:showLegendKey val="0"/>
          <c:showVal val="0"/>
          <c:showCatName val="0"/>
          <c:showSerName val="0"/>
          <c:showPercent val="0"/>
          <c:showBubbleSize val="0"/>
        </c:dLbls>
        <c:gapWidth val="219"/>
        <c:overlap val="-27"/>
        <c:axId val="1018578032"/>
        <c:axId val="1635478288"/>
      </c:barChart>
      <c:catAx>
        <c:axId val="101857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8288"/>
        <c:crosses val="autoZero"/>
        <c:auto val="1"/>
        <c:lblAlgn val="ctr"/>
        <c:lblOffset val="100"/>
        <c:noMultiLvlLbl val="0"/>
      </c:catAx>
      <c:valAx>
        <c:axId val="163547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57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Cleaned..xlsx]Top 10 Rating.!PivotTable38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10 by Rating.</a:t>
            </a:r>
          </a:p>
        </c:rich>
      </c:tx>
      <c:layout>
        <c:manualLayout>
          <c:xMode val="edge"/>
          <c:yMode val="edge"/>
          <c:x val="0.34562489063867019"/>
          <c:y val="0.119211869349664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Rating.'!$B$3</c:f>
              <c:strCache>
                <c:ptCount val="1"/>
                <c:pt idx="0">
                  <c:v>Total</c:v>
                </c:pt>
              </c:strCache>
            </c:strRef>
          </c:tx>
          <c:spPr>
            <a:solidFill>
              <a:schemeClr val="accent1"/>
            </a:solidFill>
            <a:ln>
              <a:noFill/>
            </a:ln>
            <a:effectLst/>
          </c:spPr>
          <c:invertIfNegative val="0"/>
          <c:cat>
            <c:strRef>
              <c:f>'Top 10 Rating.'!$A$4:$A$15</c:f>
              <c:strCache>
                <c:ptCount val="11"/>
                <c:pt idx="0">
                  <c:v>3</c:v>
                </c:pt>
                <c:pt idx="1">
                  <c:v>3.8</c:v>
                </c:pt>
                <c:pt idx="2">
                  <c:v>4</c:v>
                </c:pt>
                <c:pt idx="3">
                  <c:v>4.1</c:v>
                </c:pt>
                <c:pt idx="4">
                  <c:v>4.3</c:v>
                </c:pt>
                <c:pt idx="5">
                  <c:v>4.5</c:v>
                </c:pt>
                <c:pt idx="6">
                  <c:v>4.6</c:v>
                </c:pt>
                <c:pt idx="7">
                  <c:v>4.7</c:v>
                </c:pt>
                <c:pt idx="8">
                  <c:v>4.8</c:v>
                </c:pt>
                <c:pt idx="9">
                  <c:v>5</c:v>
                </c:pt>
              </c:strCache>
            </c:strRef>
          </c:cat>
          <c:val>
            <c:numRef>
              <c:f>'Top 10 Rating.'!$B$4:$B$15</c:f>
              <c:numCache>
                <c:formatCode>General</c:formatCode>
                <c:ptCount val="11"/>
                <c:pt idx="0">
                  <c:v>5</c:v>
                </c:pt>
                <c:pt idx="1">
                  <c:v>3</c:v>
                </c:pt>
                <c:pt idx="2">
                  <c:v>4</c:v>
                </c:pt>
                <c:pt idx="3">
                  <c:v>3</c:v>
                </c:pt>
                <c:pt idx="4">
                  <c:v>4</c:v>
                </c:pt>
                <c:pt idx="5">
                  <c:v>4</c:v>
                </c:pt>
                <c:pt idx="6">
                  <c:v>5</c:v>
                </c:pt>
                <c:pt idx="7">
                  <c:v>4</c:v>
                </c:pt>
                <c:pt idx="8">
                  <c:v>3</c:v>
                </c:pt>
                <c:pt idx="9">
                  <c:v>7</c:v>
                </c:pt>
                <c:pt idx="10">
                  <c:v>58</c:v>
                </c:pt>
              </c:numCache>
            </c:numRef>
          </c:val>
          <c:extLst>
            <c:ext xmlns:c16="http://schemas.microsoft.com/office/drawing/2014/chart" uri="{C3380CC4-5D6E-409C-BE32-E72D297353CC}">
              <c16:uniqueId val="{00000000-9481-4A39-ADAC-66FE0C8008C4}"/>
            </c:ext>
          </c:extLst>
        </c:ser>
        <c:dLbls>
          <c:showLegendKey val="0"/>
          <c:showVal val="0"/>
          <c:showCatName val="0"/>
          <c:showSerName val="0"/>
          <c:showPercent val="0"/>
          <c:showBubbleSize val="0"/>
        </c:dLbls>
        <c:gapWidth val="182"/>
        <c:axId val="1023348224"/>
        <c:axId val="1635500368"/>
      </c:barChart>
      <c:catAx>
        <c:axId val="10233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00368"/>
        <c:crosses val="autoZero"/>
        <c:auto val="1"/>
        <c:lblAlgn val="ctr"/>
        <c:lblOffset val="100"/>
        <c:noMultiLvlLbl val="0"/>
      </c:catAx>
      <c:valAx>
        <c:axId val="163550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4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Cleaned..xlsx]Top 10 Reviews.!PivotTable53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10 Reviews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'Top 10 Reviews.'!$B$3</c:f>
              <c:strCache>
                <c:ptCount val="1"/>
                <c:pt idx="0">
                  <c:v>Total</c:v>
                </c:pt>
              </c:strCache>
            </c:strRef>
          </c:tx>
          <c:invertIfNegative val="0"/>
          <c:cat>
            <c:strRef>
              <c:f>'Top 10 Reviews.'!$A$4:$A$14</c:f>
              <c:strCache>
                <c:ptCount val="10"/>
                <c:pt idx="0">
                  <c:v>1</c:v>
                </c:pt>
                <c:pt idx="1">
                  <c:v>3</c:v>
                </c:pt>
                <c:pt idx="2">
                  <c:v>5</c:v>
                </c:pt>
                <c:pt idx="3">
                  <c:v>7</c:v>
                </c:pt>
                <c:pt idx="4">
                  <c:v>9</c:v>
                </c:pt>
                <c:pt idx="5">
                  <c:v>13</c:v>
                </c:pt>
                <c:pt idx="6">
                  <c:v>20</c:v>
                </c:pt>
                <c:pt idx="7">
                  <c:v>24</c:v>
                </c:pt>
                <c:pt idx="8">
                  <c:v>32</c:v>
                </c:pt>
                <c:pt idx="9">
                  <c:v>55</c:v>
                </c:pt>
              </c:strCache>
            </c:strRef>
          </c:cat>
          <c:val>
            <c:numRef>
              <c:f>'Top 10 Reviews.'!$B$4:$B$14</c:f>
              <c:numCache>
                <c:formatCode>General</c:formatCode>
                <c:ptCount val="10"/>
                <c:pt idx="0">
                  <c:v>2157.3333333333335</c:v>
                </c:pt>
                <c:pt idx="1">
                  <c:v>3971</c:v>
                </c:pt>
                <c:pt idx="2">
                  <c:v>3152.2857142857142</c:v>
                </c:pt>
                <c:pt idx="3">
                  <c:v>2996.75</c:v>
                </c:pt>
                <c:pt idx="4">
                  <c:v>2123.6666666666665</c:v>
                </c:pt>
                <c:pt idx="5">
                  <c:v>2256.6666666666665</c:v>
                </c:pt>
                <c:pt idx="6">
                  <c:v>2574.5</c:v>
                </c:pt>
                <c:pt idx="7">
                  <c:v>2923</c:v>
                </c:pt>
                <c:pt idx="8">
                  <c:v>2699</c:v>
                </c:pt>
                <c:pt idx="9">
                  <c:v>3032</c:v>
                </c:pt>
              </c:numCache>
            </c:numRef>
          </c:val>
          <c:extLst>
            <c:ext xmlns:c16="http://schemas.microsoft.com/office/drawing/2014/chart" uri="{C3380CC4-5D6E-409C-BE32-E72D297353CC}">
              <c16:uniqueId val="{00000007-22AA-413D-B1C6-ECD4F3CDE172}"/>
            </c:ext>
          </c:extLst>
        </c:ser>
        <c:dLbls>
          <c:showLegendKey val="0"/>
          <c:showVal val="0"/>
          <c:showCatName val="0"/>
          <c:showSerName val="0"/>
          <c:showPercent val="0"/>
          <c:showBubbleSize val="0"/>
        </c:dLbls>
        <c:gapWidth val="219"/>
        <c:overlap val="-27"/>
        <c:axId val="788112896"/>
        <c:axId val="1635483568"/>
      </c:barChart>
      <c:catAx>
        <c:axId val="7881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83568"/>
        <c:crosses val="autoZero"/>
        <c:auto val="1"/>
        <c:lblAlgn val="ctr"/>
        <c:lblOffset val="100"/>
        <c:noMultiLvlLbl val="0"/>
      </c:catAx>
      <c:valAx>
        <c:axId val="163548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1289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Cleaned..xlsx]Top 10 Discount!PivotTable43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solidFill>
              </a:rPr>
              <a:t>Top 10 by Discount.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Discount'!$B$3</c:f>
              <c:strCache>
                <c:ptCount val="1"/>
                <c:pt idx="0">
                  <c:v>Total</c:v>
                </c:pt>
              </c:strCache>
            </c:strRef>
          </c:tx>
          <c:spPr>
            <a:ln w="28575" cap="rnd">
              <a:solidFill>
                <a:schemeClr val="accent1"/>
              </a:solidFill>
              <a:round/>
            </a:ln>
            <a:effectLst/>
          </c:spPr>
          <c:marker>
            <c:symbol val="none"/>
          </c:marker>
          <c:cat>
            <c:strRef>
              <c:f>'Top 10 Discount'!$A$4:$A$14</c:f>
              <c:strCache>
                <c:ptCount val="10"/>
                <c:pt idx="0">
                  <c:v>0.02</c:v>
                </c:pt>
                <c:pt idx="1">
                  <c:v>0.34</c:v>
                </c:pt>
                <c:pt idx="2">
                  <c:v>0.38</c:v>
                </c:pt>
                <c:pt idx="3">
                  <c:v>0.42</c:v>
                </c:pt>
                <c:pt idx="4">
                  <c:v>0.43</c:v>
                </c:pt>
                <c:pt idx="5">
                  <c:v>0.45</c:v>
                </c:pt>
                <c:pt idx="6">
                  <c:v>0.47</c:v>
                </c:pt>
                <c:pt idx="7">
                  <c:v>0.48</c:v>
                </c:pt>
                <c:pt idx="8">
                  <c:v>0.49</c:v>
                </c:pt>
                <c:pt idx="9">
                  <c:v>0.5</c:v>
                </c:pt>
              </c:strCache>
            </c:strRef>
          </c:cat>
          <c:val>
            <c:numRef>
              <c:f>'Top 10 Discount'!$B$4:$B$14</c:f>
              <c:numCache>
                <c:formatCode>General</c:formatCode>
                <c:ptCount val="10"/>
                <c:pt idx="0">
                  <c:v>6</c:v>
                </c:pt>
                <c:pt idx="1">
                  <c:v>4</c:v>
                </c:pt>
                <c:pt idx="2">
                  <c:v>4</c:v>
                </c:pt>
                <c:pt idx="3">
                  <c:v>6</c:v>
                </c:pt>
                <c:pt idx="4">
                  <c:v>4</c:v>
                </c:pt>
                <c:pt idx="5">
                  <c:v>4</c:v>
                </c:pt>
                <c:pt idx="6">
                  <c:v>8</c:v>
                </c:pt>
                <c:pt idx="7">
                  <c:v>4</c:v>
                </c:pt>
                <c:pt idx="8">
                  <c:v>14</c:v>
                </c:pt>
                <c:pt idx="9">
                  <c:v>7</c:v>
                </c:pt>
              </c:numCache>
            </c:numRef>
          </c:val>
          <c:smooth val="0"/>
          <c:extLst>
            <c:ext xmlns:c16="http://schemas.microsoft.com/office/drawing/2014/chart" uri="{C3380CC4-5D6E-409C-BE32-E72D297353CC}">
              <c16:uniqueId val="{00000000-3CD4-45E6-8B41-EF4C8B23E041}"/>
            </c:ext>
          </c:extLst>
        </c:ser>
        <c:dLbls>
          <c:showLegendKey val="0"/>
          <c:showVal val="0"/>
          <c:showCatName val="0"/>
          <c:showSerName val="0"/>
          <c:showPercent val="0"/>
          <c:showBubbleSize val="0"/>
        </c:dLbls>
        <c:smooth val="0"/>
        <c:axId val="520005872"/>
        <c:axId val="1635463888"/>
      </c:lineChart>
      <c:catAx>
        <c:axId val="520005872"/>
        <c:scaling>
          <c:orientation val="minMax"/>
        </c:scaling>
        <c:delete val="0"/>
        <c:axPos val="b"/>
        <c:numFmt formatCode="0%" sourceLinked="0"/>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63888"/>
        <c:crosses val="autoZero"/>
        <c:auto val="1"/>
        <c:lblAlgn val="ctr"/>
        <c:lblOffset val="100"/>
        <c:noMultiLvlLbl val="0"/>
      </c:catAx>
      <c:valAx>
        <c:axId val="163546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0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Cleaned..xlsx]Discount and Average Reviews.!PivotTable28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Relationship Between Discount and</a:t>
            </a:r>
            <a:r>
              <a:rPr lang="en-US" b="1" baseline="0">
                <a:solidFill>
                  <a:schemeClr val="accent1"/>
                </a:solidFill>
              </a:rPr>
              <a:t> Average Reviews.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'Discount and Average Reviews.'!$B$3</c:f>
              <c:strCache>
                <c:ptCount val="1"/>
                <c:pt idx="0">
                  <c:v>Total</c:v>
                </c:pt>
              </c:strCache>
            </c:strRef>
          </c:tx>
          <c:spPr>
            <a:solidFill>
              <a:schemeClr val="accent1"/>
            </a:solidFill>
            <a:ln>
              <a:noFill/>
            </a:ln>
            <a:effectLst/>
          </c:spPr>
          <c:invertIfNegative val="0"/>
          <c:cat>
            <c:strRef>
              <c:f>'Discount and Average Reviews.'!$A$4:$A$17</c:f>
              <c:strCache>
                <c:ptCount val="13"/>
                <c:pt idx="0">
                  <c:v>0.09</c:v>
                </c:pt>
                <c:pt idx="1">
                  <c:v>0.18</c:v>
                </c:pt>
                <c:pt idx="2">
                  <c:v>0.2</c:v>
                </c:pt>
                <c:pt idx="3">
                  <c:v>0.23</c:v>
                </c:pt>
                <c:pt idx="4">
                  <c:v>0.24</c:v>
                </c:pt>
                <c:pt idx="5">
                  <c:v>0.25</c:v>
                </c:pt>
                <c:pt idx="6">
                  <c:v>0.27</c:v>
                </c:pt>
                <c:pt idx="7">
                  <c:v>0.3</c:v>
                </c:pt>
                <c:pt idx="8">
                  <c:v>0.32</c:v>
                </c:pt>
                <c:pt idx="9">
                  <c:v>0.34</c:v>
                </c:pt>
                <c:pt idx="10">
                  <c:v>0.35</c:v>
                </c:pt>
                <c:pt idx="11">
                  <c:v>0.41</c:v>
                </c:pt>
                <c:pt idx="12">
                  <c:v>0.52</c:v>
                </c:pt>
              </c:strCache>
            </c:strRef>
          </c:cat>
          <c:val>
            <c:numRef>
              <c:f>'Discount and Average Reviews.'!$B$4:$B$17</c:f>
              <c:numCache>
                <c:formatCode>General</c:formatCode>
                <c:ptCount val="13"/>
                <c:pt idx="0">
                  <c:v>15</c:v>
                </c:pt>
                <c:pt idx="1">
                  <c:v>12</c:v>
                </c:pt>
                <c:pt idx="2">
                  <c:v>12</c:v>
                </c:pt>
                <c:pt idx="3">
                  <c:v>14</c:v>
                </c:pt>
                <c:pt idx="4">
                  <c:v>27.5</c:v>
                </c:pt>
                <c:pt idx="5">
                  <c:v>24</c:v>
                </c:pt>
                <c:pt idx="6">
                  <c:v>17.333333333333332</c:v>
                </c:pt>
                <c:pt idx="7">
                  <c:v>20</c:v>
                </c:pt>
                <c:pt idx="8">
                  <c:v>13</c:v>
                </c:pt>
                <c:pt idx="9">
                  <c:v>12.75</c:v>
                </c:pt>
                <c:pt idx="10">
                  <c:v>27.5</c:v>
                </c:pt>
                <c:pt idx="11">
                  <c:v>12</c:v>
                </c:pt>
                <c:pt idx="12">
                  <c:v>12</c:v>
                </c:pt>
              </c:numCache>
            </c:numRef>
          </c:val>
          <c:extLst>
            <c:ext xmlns:c16="http://schemas.microsoft.com/office/drawing/2014/chart" uri="{C3380CC4-5D6E-409C-BE32-E72D297353CC}">
              <c16:uniqueId val="{00000000-636F-4B23-AA99-D7FC47A208DD}"/>
            </c:ext>
          </c:extLst>
        </c:ser>
        <c:dLbls>
          <c:showLegendKey val="0"/>
          <c:showVal val="0"/>
          <c:showCatName val="0"/>
          <c:showSerName val="0"/>
          <c:showPercent val="0"/>
          <c:showBubbleSize val="0"/>
        </c:dLbls>
        <c:gapWidth val="150"/>
        <c:overlap val="100"/>
        <c:axId val="1023219232"/>
        <c:axId val="1635497488"/>
      </c:barChart>
      <c:catAx>
        <c:axId val="102321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97488"/>
        <c:crosses val="autoZero"/>
        <c:auto val="1"/>
        <c:lblAlgn val="ctr"/>
        <c:lblOffset val="100"/>
        <c:noMultiLvlLbl val="0"/>
      </c:catAx>
      <c:valAx>
        <c:axId val="163549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1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Cleaned..xlsx]Average Reviews and Rating.!PivotTable27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Relationship Between Average Reviews and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Reviews and Rating.'!$B$3</c:f>
              <c:strCache>
                <c:ptCount val="1"/>
                <c:pt idx="0">
                  <c:v>Total</c:v>
                </c:pt>
              </c:strCache>
            </c:strRef>
          </c:tx>
          <c:spPr>
            <a:solidFill>
              <a:schemeClr val="accent4"/>
            </a:solidFill>
            <a:ln>
              <a:noFill/>
            </a:ln>
            <a:effectLst/>
          </c:spPr>
          <c:invertIfNegative val="0"/>
          <c:cat>
            <c:strRef>
              <c:f>'Average Reviews and Rating.'!$A$4:$A$14</c:f>
              <c:strCache>
                <c:ptCount val="10"/>
                <c:pt idx="0">
                  <c:v>2.6</c:v>
                </c:pt>
                <c:pt idx="1">
                  <c:v>2.7</c:v>
                </c:pt>
                <c:pt idx="2">
                  <c:v>2.8</c:v>
                </c:pt>
                <c:pt idx="3">
                  <c:v>2.9</c:v>
                </c:pt>
                <c:pt idx="4">
                  <c:v>3.3</c:v>
                </c:pt>
                <c:pt idx="5">
                  <c:v>4.1</c:v>
                </c:pt>
                <c:pt idx="6">
                  <c:v>4.3</c:v>
                </c:pt>
                <c:pt idx="7">
                  <c:v>4.4</c:v>
                </c:pt>
                <c:pt idx="8">
                  <c:v>4.6</c:v>
                </c:pt>
                <c:pt idx="9">
                  <c:v>4.7</c:v>
                </c:pt>
              </c:strCache>
            </c:strRef>
          </c:cat>
          <c:val>
            <c:numRef>
              <c:f>'Average Reviews and Rating.'!$B$4:$B$14</c:f>
              <c:numCache>
                <c:formatCode>General</c:formatCode>
                <c:ptCount val="10"/>
                <c:pt idx="0">
                  <c:v>17</c:v>
                </c:pt>
                <c:pt idx="1">
                  <c:v>15</c:v>
                </c:pt>
                <c:pt idx="2">
                  <c:v>69</c:v>
                </c:pt>
                <c:pt idx="3">
                  <c:v>16</c:v>
                </c:pt>
                <c:pt idx="4">
                  <c:v>13</c:v>
                </c:pt>
                <c:pt idx="5">
                  <c:v>15.333333333333334</c:v>
                </c:pt>
                <c:pt idx="6">
                  <c:v>15.25</c:v>
                </c:pt>
                <c:pt idx="7">
                  <c:v>14</c:v>
                </c:pt>
                <c:pt idx="8">
                  <c:v>35.4</c:v>
                </c:pt>
                <c:pt idx="9">
                  <c:v>19.5</c:v>
                </c:pt>
              </c:numCache>
            </c:numRef>
          </c:val>
          <c:extLst>
            <c:ext xmlns:c16="http://schemas.microsoft.com/office/drawing/2014/chart" uri="{C3380CC4-5D6E-409C-BE32-E72D297353CC}">
              <c16:uniqueId val="{00000000-58EE-45F5-ACA1-6B221F1A5B57}"/>
            </c:ext>
          </c:extLst>
        </c:ser>
        <c:dLbls>
          <c:showLegendKey val="0"/>
          <c:showVal val="0"/>
          <c:showCatName val="0"/>
          <c:showSerName val="0"/>
          <c:showPercent val="0"/>
          <c:showBubbleSize val="0"/>
        </c:dLbls>
        <c:gapWidth val="219"/>
        <c:overlap val="-27"/>
        <c:axId val="1023209488"/>
        <c:axId val="1635488368"/>
      </c:barChart>
      <c:catAx>
        <c:axId val="102320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88368"/>
        <c:crosses val="autoZero"/>
        <c:auto val="1"/>
        <c:lblAlgn val="ctr"/>
        <c:lblOffset val="100"/>
        <c:noMultiLvlLbl val="0"/>
      </c:catAx>
      <c:valAx>
        <c:axId val="163548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0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Cleaned..xlsx]Average Old Price with Rating.!PivotTable30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Average Old Price with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Old Price with Rating.'!$B$3</c:f>
              <c:strCache>
                <c:ptCount val="1"/>
                <c:pt idx="0">
                  <c:v>Total</c:v>
                </c:pt>
              </c:strCache>
            </c:strRef>
          </c:tx>
          <c:spPr>
            <a:ln w="28575" cap="rnd">
              <a:solidFill>
                <a:schemeClr val="accent1"/>
              </a:solidFill>
              <a:round/>
            </a:ln>
            <a:effectLst/>
          </c:spPr>
          <c:marker>
            <c:symbol val="none"/>
          </c:marker>
          <c:cat>
            <c:strRef>
              <c:f>'Average Old Price with Rating.'!$A$4:$A$14</c:f>
              <c:strCache>
                <c:ptCount val="10"/>
                <c:pt idx="0">
                  <c:v>2.6</c:v>
                </c:pt>
                <c:pt idx="1">
                  <c:v>2.7</c:v>
                </c:pt>
                <c:pt idx="2">
                  <c:v>2.8</c:v>
                </c:pt>
                <c:pt idx="3">
                  <c:v>2.9</c:v>
                </c:pt>
                <c:pt idx="4">
                  <c:v>3.3</c:v>
                </c:pt>
                <c:pt idx="5">
                  <c:v>4.1</c:v>
                </c:pt>
                <c:pt idx="6">
                  <c:v>4.3</c:v>
                </c:pt>
                <c:pt idx="7">
                  <c:v>4.4</c:v>
                </c:pt>
                <c:pt idx="8">
                  <c:v>4.6</c:v>
                </c:pt>
                <c:pt idx="9">
                  <c:v>4.7</c:v>
                </c:pt>
              </c:strCache>
            </c:strRef>
          </c:cat>
          <c:val>
            <c:numRef>
              <c:f>'Average Old Price with Rating.'!$B$4:$B$14</c:f>
              <c:numCache>
                <c:formatCode>General</c:formatCode>
                <c:ptCount val="10"/>
                <c:pt idx="0">
                  <c:v>17</c:v>
                </c:pt>
                <c:pt idx="1">
                  <c:v>15</c:v>
                </c:pt>
                <c:pt idx="2">
                  <c:v>69</c:v>
                </c:pt>
                <c:pt idx="3">
                  <c:v>16</c:v>
                </c:pt>
                <c:pt idx="4">
                  <c:v>13</c:v>
                </c:pt>
                <c:pt idx="5">
                  <c:v>15.333333333333334</c:v>
                </c:pt>
                <c:pt idx="6">
                  <c:v>15.25</c:v>
                </c:pt>
                <c:pt idx="7">
                  <c:v>14</c:v>
                </c:pt>
                <c:pt idx="8">
                  <c:v>35.4</c:v>
                </c:pt>
                <c:pt idx="9">
                  <c:v>19.5</c:v>
                </c:pt>
              </c:numCache>
            </c:numRef>
          </c:val>
          <c:smooth val="0"/>
          <c:extLst>
            <c:ext xmlns:c16="http://schemas.microsoft.com/office/drawing/2014/chart" uri="{C3380CC4-5D6E-409C-BE32-E72D297353CC}">
              <c16:uniqueId val="{00000000-F830-48AC-B090-30FB55EFACA3}"/>
            </c:ext>
          </c:extLst>
        </c:ser>
        <c:dLbls>
          <c:showLegendKey val="0"/>
          <c:showVal val="0"/>
          <c:showCatName val="0"/>
          <c:showSerName val="0"/>
          <c:showPercent val="0"/>
          <c:showBubbleSize val="0"/>
        </c:dLbls>
        <c:smooth val="0"/>
        <c:axId val="1023335696"/>
        <c:axId val="1635497968"/>
      </c:lineChart>
      <c:catAx>
        <c:axId val="102333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97968"/>
        <c:crosses val="autoZero"/>
        <c:auto val="1"/>
        <c:lblAlgn val="ctr"/>
        <c:lblOffset val="100"/>
        <c:noMultiLvlLbl val="0"/>
      </c:catAx>
      <c:valAx>
        <c:axId val="163549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3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Cleaned..xlsx]Rating Category,Average Review!PivotTable49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Rating Category with Average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Category,Average Review'!$B$3</c:f>
              <c:strCache>
                <c:ptCount val="1"/>
                <c:pt idx="0">
                  <c:v>Total</c:v>
                </c:pt>
              </c:strCache>
            </c:strRef>
          </c:tx>
          <c:spPr>
            <a:solidFill>
              <a:schemeClr val="accent1"/>
            </a:solidFill>
            <a:ln>
              <a:noFill/>
            </a:ln>
            <a:effectLst/>
          </c:spPr>
          <c:invertIfNegative val="0"/>
          <c:cat>
            <c:strRef>
              <c:f>'Rating Category,Average Review'!$A$4:$A$7</c:f>
              <c:strCache>
                <c:ptCount val="3"/>
                <c:pt idx="0">
                  <c:v>Average</c:v>
                </c:pt>
                <c:pt idx="1">
                  <c:v>Excellent</c:v>
                </c:pt>
                <c:pt idx="2">
                  <c:v>Poor</c:v>
                </c:pt>
              </c:strCache>
            </c:strRef>
          </c:cat>
          <c:val>
            <c:numRef>
              <c:f>'Rating Category,Average Review'!$B$4:$B$7</c:f>
              <c:numCache>
                <c:formatCode>General</c:formatCode>
                <c:ptCount val="3"/>
                <c:pt idx="0">
                  <c:v>10.192307692307692</c:v>
                </c:pt>
                <c:pt idx="1">
                  <c:v>3.7532467532467533</c:v>
                </c:pt>
                <c:pt idx="2">
                  <c:v>14.083333333333334</c:v>
                </c:pt>
              </c:numCache>
            </c:numRef>
          </c:val>
          <c:extLst>
            <c:ext xmlns:c16="http://schemas.microsoft.com/office/drawing/2014/chart" uri="{C3380CC4-5D6E-409C-BE32-E72D297353CC}">
              <c16:uniqueId val="{00000000-67C5-4828-A686-C02E1D521D61}"/>
            </c:ext>
          </c:extLst>
        </c:ser>
        <c:dLbls>
          <c:showLegendKey val="0"/>
          <c:showVal val="0"/>
          <c:showCatName val="0"/>
          <c:showSerName val="0"/>
          <c:showPercent val="0"/>
          <c:showBubbleSize val="0"/>
        </c:dLbls>
        <c:gapWidth val="219"/>
        <c:overlap val="-27"/>
        <c:axId val="520003088"/>
        <c:axId val="1635474448"/>
      </c:barChart>
      <c:catAx>
        <c:axId val="5200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4448"/>
        <c:crosses val="autoZero"/>
        <c:auto val="1"/>
        <c:lblAlgn val="ctr"/>
        <c:lblOffset val="100"/>
        <c:noMultiLvlLbl val="0"/>
      </c:catAx>
      <c:valAx>
        <c:axId val="16354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00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Cleaned..xlsx]Price Category,Average Rating.!PivotTable50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Price</a:t>
            </a:r>
            <a:r>
              <a:rPr lang="en-US" b="1" baseline="0">
                <a:solidFill>
                  <a:schemeClr val="accent1"/>
                </a:solidFill>
              </a:rPr>
              <a:t> Category With Average Rating.</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Category,Average Rating.'!$B$3</c:f>
              <c:strCache>
                <c:ptCount val="1"/>
                <c:pt idx="0">
                  <c:v>Total</c:v>
                </c:pt>
              </c:strCache>
            </c:strRef>
          </c:tx>
          <c:spPr>
            <a:solidFill>
              <a:schemeClr val="accent1"/>
            </a:solidFill>
            <a:ln>
              <a:noFill/>
            </a:ln>
            <a:effectLst/>
          </c:spPr>
          <c:invertIfNegative val="0"/>
          <c:cat>
            <c:strRef>
              <c:f>'Price Category,Average Rating.'!$A$4:$A$7</c:f>
              <c:strCache>
                <c:ptCount val="3"/>
                <c:pt idx="0">
                  <c:v>High Price</c:v>
                </c:pt>
                <c:pt idx="1">
                  <c:v>Low Price</c:v>
                </c:pt>
                <c:pt idx="2">
                  <c:v>Medium Price</c:v>
                </c:pt>
              </c:strCache>
            </c:strRef>
          </c:cat>
          <c:val>
            <c:numRef>
              <c:f>'Price Category,Average Rating.'!$B$4:$B$7</c:f>
              <c:numCache>
                <c:formatCode>General</c:formatCode>
                <c:ptCount val="3"/>
                <c:pt idx="0">
                  <c:v>4.0666666666666655</c:v>
                </c:pt>
                <c:pt idx="1">
                  <c:v>3.6357142857142857</c:v>
                </c:pt>
                <c:pt idx="2">
                  <c:v>3.8526315789473684</c:v>
                </c:pt>
              </c:numCache>
            </c:numRef>
          </c:val>
          <c:extLst>
            <c:ext xmlns:c16="http://schemas.microsoft.com/office/drawing/2014/chart" uri="{C3380CC4-5D6E-409C-BE32-E72D297353CC}">
              <c16:uniqueId val="{00000000-E43A-48E8-BD99-D1BA98309A20}"/>
            </c:ext>
          </c:extLst>
        </c:ser>
        <c:dLbls>
          <c:showLegendKey val="0"/>
          <c:showVal val="0"/>
          <c:showCatName val="0"/>
          <c:showSerName val="0"/>
          <c:showPercent val="0"/>
          <c:showBubbleSize val="0"/>
        </c:dLbls>
        <c:gapWidth val="219"/>
        <c:overlap val="-27"/>
        <c:axId val="1018652272"/>
        <c:axId val="1635486928"/>
      </c:barChart>
      <c:catAx>
        <c:axId val="10186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86928"/>
        <c:crosses val="autoZero"/>
        <c:auto val="1"/>
        <c:lblAlgn val="ctr"/>
        <c:lblOffset val="100"/>
        <c:noMultiLvlLbl val="0"/>
      </c:catAx>
      <c:valAx>
        <c:axId val="163548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5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Cleaned..xlsx]Discount Category.!PivotTable54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Category.'!$B$3</c:f>
              <c:strCache>
                <c:ptCount val="1"/>
                <c:pt idx="0">
                  <c:v>Total</c:v>
                </c:pt>
              </c:strCache>
            </c:strRef>
          </c:tx>
          <c:spPr>
            <a:solidFill>
              <a:schemeClr val="accent1"/>
            </a:solidFill>
            <a:ln>
              <a:noFill/>
            </a:ln>
            <a:effectLst/>
          </c:spPr>
          <c:invertIfNegative val="0"/>
          <c:cat>
            <c:strRef>
              <c:f>'Discount Category.'!$A$4:$A$6</c:f>
              <c:strCache>
                <c:ptCount val="2"/>
                <c:pt idx="0">
                  <c:v>Low Discount</c:v>
                </c:pt>
                <c:pt idx="1">
                  <c:v>Medium Discount</c:v>
                </c:pt>
              </c:strCache>
            </c:strRef>
          </c:cat>
          <c:val>
            <c:numRef>
              <c:f>'Discount Category.'!$B$4:$B$6</c:f>
              <c:numCache>
                <c:formatCode>General</c:formatCode>
                <c:ptCount val="2"/>
                <c:pt idx="0">
                  <c:v>18</c:v>
                </c:pt>
                <c:pt idx="1">
                  <c:v>99</c:v>
                </c:pt>
              </c:numCache>
            </c:numRef>
          </c:val>
          <c:extLst>
            <c:ext xmlns:c16="http://schemas.microsoft.com/office/drawing/2014/chart" uri="{C3380CC4-5D6E-409C-BE32-E72D297353CC}">
              <c16:uniqueId val="{00000000-889B-4906-A317-4829F15616A5}"/>
            </c:ext>
          </c:extLst>
        </c:ser>
        <c:dLbls>
          <c:showLegendKey val="0"/>
          <c:showVal val="0"/>
          <c:showCatName val="0"/>
          <c:showSerName val="0"/>
          <c:showPercent val="0"/>
          <c:showBubbleSize val="0"/>
        </c:dLbls>
        <c:gapWidth val="219"/>
        <c:overlap val="-27"/>
        <c:axId val="788194096"/>
        <c:axId val="1635433168"/>
      </c:barChart>
      <c:catAx>
        <c:axId val="7881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33168"/>
        <c:crosses val="autoZero"/>
        <c:auto val="1"/>
        <c:lblAlgn val="ctr"/>
        <c:lblOffset val="100"/>
        <c:noMultiLvlLbl val="0"/>
      </c:catAx>
      <c:valAx>
        <c:axId val="163543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9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Cleaned..xlsx]Products with Discount.!PivotTable32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Count of Products with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with Discount.'!$B$3</c:f>
              <c:strCache>
                <c:ptCount val="1"/>
                <c:pt idx="0">
                  <c:v>Total</c:v>
                </c:pt>
              </c:strCache>
            </c:strRef>
          </c:tx>
          <c:spPr>
            <a:solidFill>
              <a:schemeClr val="accent2"/>
            </a:solidFill>
            <a:ln>
              <a:noFill/>
            </a:ln>
            <a:effectLst/>
          </c:spPr>
          <c:invertIfNegative val="0"/>
          <c:cat>
            <c:strRef>
              <c:f>'Products with Discount.'!$A$4:$A$14</c:f>
              <c:strCache>
                <c:ptCount val="10"/>
                <c:pt idx="0">
                  <c:v>0.02</c:v>
                </c:pt>
                <c:pt idx="1">
                  <c:v>0.34</c:v>
                </c:pt>
                <c:pt idx="2">
                  <c:v>0.38</c:v>
                </c:pt>
                <c:pt idx="3">
                  <c:v>0.42</c:v>
                </c:pt>
                <c:pt idx="4">
                  <c:v>0.43</c:v>
                </c:pt>
                <c:pt idx="5">
                  <c:v>0.45</c:v>
                </c:pt>
                <c:pt idx="6">
                  <c:v>0.47</c:v>
                </c:pt>
                <c:pt idx="7">
                  <c:v>0.48</c:v>
                </c:pt>
                <c:pt idx="8">
                  <c:v>0.49</c:v>
                </c:pt>
                <c:pt idx="9">
                  <c:v>0.5</c:v>
                </c:pt>
              </c:strCache>
            </c:strRef>
          </c:cat>
          <c:val>
            <c:numRef>
              <c:f>'Products with Discount.'!$B$4:$B$14</c:f>
              <c:numCache>
                <c:formatCode>General</c:formatCode>
                <c:ptCount val="10"/>
                <c:pt idx="0">
                  <c:v>6</c:v>
                </c:pt>
                <c:pt idx="1">
                  <c:v>4</c:v>
                </c:pt>
                <c:pt idx="2">
                  <c:v>4</c:v>
                </c:pt>
                <c:pt idx="3">
                  <c:v>6</c:v>
                </c:pt>
                <c:pt idx="4">
                  <c:v>4</c:v>
                </c:pt>
                <c:pt idx="5">
                  <c:v>4</c:v>
                </c:pt>
                <c:pt idx="6">
                  <c:v>8</c:v>
                </c:pt>
                <c:pt idx="7">
                  <c:v>4</c:v>
                </c:pt>
                <c:pt idx="8">
                  <c:v>14</c:v>
                </c:pt>
                <c:pt idx="9">
                  <c:v>7</c:v>
                </c:pt>
              </c:numCache>
            </c:numRef>
          </c:val>
          <c:extLst>
            <c:ext xmlns:c16="http://schemas.microsoft.com/office/drawing/2014/chart" uri="{C3380CC4-5D6E-409C-BE32-E72D297353CC}">
              <c16:uniqueId val="{00000000-3BD9-45FB-A389-87A3E8192016}"/>
            </c:ext>
          </c:extLst>
        </c:ser>
        <c:dLbls>
          <c:showLegendKey val="0"/>
          <c:showVal val="0"/>
          <c:showCatName val="0"/>
          <c:showSerName val="0"/>
          <c:showPercent val="0"/>
          <c:showBubbleSize val="0"/>
        </c:dLbls>
        <c:gapWidth val="219"/>
        <c:overlap val="-27"/>
        <c:axId val="1018634640"/>
        <c:axId val="1635425968"/>
      </c:barChart>
      <c:catAx>
        <c:axId val="10186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25968"/>
        <c:crosses val="autoZero"/>
        <c:auto val="1"/>
        <c:lblAlgn val="ctr"/>
        <c:lblOffset val="100"/>
        <c:noMultiLvlLbl val="0"/>
      </c:catAx>
      <c:valAx>
        <c:axId val="163542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Cleaned..xlsx]Top 10 Rating.!PivotTable38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10 by Rating.</a:t>
            </a:r>
          </a:p>
        </c:rich>
      </c:tx>
      <c:layout>
        <c:manualLayout>
          <c:xMode val="edge"/>
          <c:yMode val="edge"/>
          <c:x val="0.34562489063867019"/>
          <c:y val="0.119211869349664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Rating.'!$B$3</c:f>
              <c:strCache>
                <c:ptCount val="1"/>
                <c:pt idx="0">
                  <c:v>Total</c:v>
                </c:pt>
              </c:strCache>
            </c:strRef>
          </c:tx>
          <c:spPr>
            <a:solidFill>
              <a:schemeClr val="accent1"/>
            </a:solidFill>
            <a:ln>
              <a:noFill/>
            </a:ln>
            <a:effectLst/>
          </c:spPr>
          <c:invertIfNegative val="0"/>
          <c:cat>
            <c:strRef>
              <c:f>'Top 10 Rating.'!$A$4:$A$15</c:f>
              <c:strCache>
                <c:ptCount val="11"/>
                <c:pt idx="0">
                  <c:v>3</c:v>
                </c:pt>
                <c:pt idx="1">
                  <c:v>3.8</c:v>
                </c:pt>
                <c:pt idx="2">
                  <c:v>4</c:v>
                </c:pt>
                <c:pt idx="3">
                  <c:v>4.1</c:v>
                </c:pt>
                <c:pt idx="4">
                  <c:v>4.3</c:v>
                </c:pt>
                <c:pt idx="5">
                  <c:v>4.5</c:v>
                </c:pt>
                <c:pt idx="6">
                  <c:v>4.6</c:v>
                </c:pt>
                <c:pt idx="7">
                  <c:v>4.7</c:v>
                </c:pt>
                <c:pt idx="8">
                  <c:v>4.8</c:v>
                </c:pt>
                <c:pt idx="9">
                  <c:v>5</c:v>
                </c:pt>
              </c:strCache>
            </c:strRef>
          </c:cat>
          <c:val>
            <c:numRef>
              <c:f>'Top 10 Rating.'!$B$4:$B$15</c:f>
              <c:numCache>
                <c:formatCode>General</c:formatCode>
                <c:ptCount val="11"/>
                <c:pt idx="0">
                  <c:v>5</c:v>
                </c:pt>
                <c:pt idx="1">
                  <c:v>3</c:v>
                </c:pt>
                <c:pt idx="2">
                  <c:v>4</c:v>
                </c:pt>
                <c:pt idx="3">
                  <c:v>3</c:v>
                </c:pt>
                <c:pt idx="4">
                  <c:v>4</c:v>
                </c:pt>
                <c:pt idx="5">
                  <c:v>4</c:v>
                </c:pt>
                <c:pt idx="6">
                  <c:v>5</c:v>
                </c:pt>
                <c:pt idx="7">
                  <c:v>4</c:v>
                </c:pt>
                <c:pt idx="8">
                  <c:v>3</c:v>
                </c:pt>
                <c:pt idx="9">
                  <c:v>7</c:v>
                </c:pt>
                <c:pt idx="10">
                  <c:v>58</c:v>
                </c:pt>
              </c:numCache>
            </c:numRef>
          </c:val>
          <c:extLst>
            <c:ext xmlns:c16="http://schemas.microsoft.com/office/drawing/2014/chart" uri="{C3380CC4-5D6E-409C-BE32-E72D297353CC}">
              <c16:uniqueId val="{00000000-1D85-47A3-9475-2A542485FE6E}"/>
            </c:ext>
          </c:extLst>
        </c:ser>
        <c:dLbls>
          <c:showLegendKey val="0"/>
          <c:showVal val="0"/>
          <c:showCatName val="0"/>
          <c:showSerName val="0"/>
          <c:showPercent val="0"/>
          <c:showBubbleSize val="0"/>
        </c:dLbls>
        <c:gapWidth val="182"/>
        <c:axId val="1023348224"/>
        <c:axId val="1635500368"/>
      </c:barChart>
      <c:catAx>
        <c:axId val="10233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00368"/>
        <c:crosses val="autoZero"/>
        <c:auto val="1"/>
        <c:lblAlgn val="ctr"/>
        <c:lblOffset val="100"/>
        <c:noMultiLvlLbl val="0"/>
      </c:catAx>
      <c:valAx>
        <c:axId val="163550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4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Cleaned..xlsx]Top 10 Discount!PivotTable43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solidFill>
              </a:rPr>
              <a:t>Top 10 by Discount.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Discount'!$B$3</c:f>
              <c:strCache>
                <c:ptCount val="1"/>
                <c:pt idx="0">
                  <c:v>Total</c:v>
                </c:pt>
              </c:strCache>
            </c:strRef>
          </c:tx>
          <c:spPr>
            <a:ln w="28575" cap="rnd">
              <a:solidFill>
                <a:schemeClr val="accent1"/>
              </a:solidFill>
              <a:round/>
            </a:ln>
            <a:effectLst/>
          </c:spPr>
          <c:marker>
            <c:symbol val="none"/>
          </c:marker>
          <c:cat>
            <c:strRef>
              <c:f>'Top 10 Discount'!$A$4:$A$14</c:f>
              <c:strCache>
                <c:ptCount val="10"/>
                <c:pt idx="0">
                  <c:v>0.02</c:v>
                </c:pt>
                <c:pt idx="1">
                  <c:v>0.34</c:v>
                </c:pt>
                <c:pt idx="2">
                  <c:v>0.38</c:v>
                </c:pt>
                <c:pt idx="3">
                  <c:v>0.42</c:v>
                </c:pt>
                <c:pt idx="4">
                  <c:v>0.43</c:v>
                </c:pt>
                <c:pt idx="5">
                  <c:v>0.45</c:v>
                </c:pt>
                <c:pt idx="6">
                  <c:v>0.47</c:v>
                </c:pt>
                <c:pt idx="7">
                  <c:v>0.48</c:v>
                </c:pt>
                <c:pt idx="8">
                  <c:v>0.49</c:v>
                </c:pt>
                <c:pt idx="9">
                  <c:v>0.5</c:v>
                </c:pt>
              </c:strCache>
            </c:strRef>
          </c:cat>
          <c:val>
            <c:numRef>
              <c:f>'Top 10 Discount'!$B$4:$B$14</c:f>
              <c:numCache>
                <c:formatCode>General</c:formatCode>
                <c:ptCount val="10"/>
                <c:pt idx="0">
                  <c:v>6</c:v>
                </c:pt>
                <c:pt idx="1">
                  <c:v>4</c:v>
                </c:pt>
                <c:pt idx="2">
                  <c:v>4</c:v>
                </c:pt>
                <c:pt idx="3">
                  <c:v>6</c:v>
                </c:pt>
                <c:pt idx="4">
                  <c:v>4</c:v>
                </c:pt>
                <c:pt idx="5">
                  <c:v>4</c:v>
                </c:pt>
                <c:pt idx="6">
                  <c:v>8</c:v>
                </c:pt>
                <c:pt idx="7">
                  <c:v>4</c:v>
                </c:pt>
                <c:pt idx="8">
                  <c:v>14</c:v>
                </c:pt>
                <c:pt idx="9">
                  <c:v>7</c:v>
                </c:pt>
              </c:numCache>
            </c:numRef>
          </c:val>
          <c:smooth val="0"/>
          <c:extLst>
            <c:ext xmlns:c16="http://schemas.microsoft.com/office/drawing/2014/chart" uri="{C3380CC4-5D6E-409C-BE32-E72D297353CC}">
              <c16:uniqueId val="{00000000-A5D0-43F7-BC03-5EEB7D01BE1E}"/>
            </c:ext>
          </c:extLst>
        </c:ser>
        <c:dLbls>
          <c:showLegendKey val="0"/>
          <c:showVal val="0"/>
          <c:showCatName val="0"/>
          <c:showSerName val="0"/>
          <c:showPercent val="0"/>
          <c:showBubbleSize val="0"/>
        </c:dLbls>
        <c:smooth val="0"/>
        <c:axId val="520005872"/>
        <c:axId val="1635463888"/>
      </c:lineChart>
      <c:catAx>
        <c:axId val="52000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63888"/>
        <c:crosses val="autoZero"/>
        <c:auto val="1"/>
        <c:lblAlgn val="ctr"/>
        <c:lblOffset val="100"/>
        <c:noMultiLvlLbl val="0"/>
      </c:catAx>
      <c:valAx>
        <c:axId val="163546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0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Cleaned..xlsx]Rating Category,Average Review!PivotTable49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Rating Category with Average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Category,Average Review'!$B$3</c:f>
              <c:strCache>
                <c:ptCount val="1"/>
                <c:pt idx="0">
                  <c:v>Total</c:v>
                </c:pt>
              </c:strCache>
            </c:strRef>
          </c:tx>
          <c:spPr>
            <a:solidFill>
              <a:schemeClr val="accent1"/>
            </a:solidFill>
            <a:ln>
              <a:noFill/>
            </a:ln>
            <a:effectLst/>
          </c:spPr>
          <c:invertIfNegative val="0"/>
          <c:cat>
            <c:strRef>
              <c:f>'Rating Category,Average Review'!$A$4:$A$7</c:f>
              <c:strCache>
                <c:ptCount val="3"/>
                <c:pt idx="0">
                  <c:v>Average</c:v>
                </c:pt>
                <c:pt idx="1">
                  <c:v>Excellent</c:v>
                </c:pt>
                <c:pt idx="2">
                  <c:v>Poor</c:v>
                </c:pt>
              </c:strCache>
            </c:strRef>
          </c:cat>
          <c:val>
            <c:numRef>
              <c:f>'Rating Category,Average Review'!$B$4:$B$7</c:f>
              <c:numCache>
                <c:formatCode>General</c:formatCode>
                <c:ptCount val="3"/>
                <c:pt idx="0">
                  <c:v>10.192307692307692</c:v>
                </c:pt>
                <c:pt idx="1">
                  <c:v>3.7532467532467533</c:v>
                </c:pt>
                <c:pt idx="2">
                  <c:v>14.083333333333334</c:v>
                </c:pt>
              </c:numCache>
            </c:numRef>
          </c:val>
          <c:extLst>
            <c:ext xmlns:c16="http://schemas.microsoft.com/office/drawing/2014/chart" uri="{C3380CC4-5D6E-409C-BE32-E72D297353CC}">
              <c16:uniqueId val="{00000000-62DA-4B9A-8FFE-EB94FFF14BA9}"/>
            </c:ext>
          </c:extLst>
        </c:ser>
        <c:dLbls>
          <c:showLegendKey val="0"/>
          <c:showVal val="0"/>
          <c:showCatName val="0"/>
          <c:showSerName val="0"/>
          <c:showPercent val="0"/>
          <c:showBubbleSize val="0"/>
        </c:dLbls>
        <c:gapWidth val="219"/>
        <c:overlap val="-27"/>
        <c:axId val="520003088"/>
        <c:axId val="1635474448"/>
      </c:barChart>
      <c:catAx>
        <c:axId val="5200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4448"/>
        <c:crosses val="autoZero"/>
        <c:auto val="1"/>
        <c:lblAlgn val="ctr"/>
        <c:lblOffset val="100"/>
        <c:noMultiLvlLbl val="0"/>
      </c:catAx>
      <c:valAx>
        <c:axId val="16354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00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Cleaned..xlsx]Top 10 Reviews.!PivotTable53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10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Reviews.'!$B$3</c:f>
              <c:strCache>
                <c:ptCount val="1"/>
                <c:pt idx="0">
                  <c:v>Total</c:v>
                </c:pt>
              </c:strCache>
            </c:strRef>
          </c:tx>
          <c:spPr>
            <a:solidFill>
              <a:schemeClr val="accent1"/>
            </a:solidFill>
            <a:ln>
              <a:noFill/>
            </a:ln>
            <a:effectLst/>
          </c:spPr>
          <c:invertIfNegative val="0"/>
          <c:cat>
            <c:strRef>
              <c:f>'Top 10 Reviews.'!$A$4:$A$14</c:f>
              <c:strCache>
                <c:ptCount val="10"/>
                <c:pt idx="0">
                  <c:v>1</c:v>
                </c:pt>
                <c:pt idx="1">
                  <c:v>3</c:v>
                </c:pt>
                <c:pt idx="2">
                  <c:v>5</c:v>
                </c:pt>
                <c:pt idx="3">
                  <c:v>7</c:v>
                </c:pt>
                <c:pt idx="4">
                  <c:v>9</c:v>
                </c:pt>
                <c:pt idx="5">
                  <c:v>13</c:v>
                </c:pt>
                <c:pt idx="6">
                  <c:v>20</c:v>
                </c:pt>
                <c:pt idx="7">
                  <c:v>24</c:v>
                </c:pt>
                <c:pt idx="8">
                  <c:v>32</c:v>
                </c:pt>
                <c:pt idx="9">
                  <c:v>55</c:v>
                </c:pt>
              </c:strCache>
            </c:strRef>
          </c:cat>
          <c:val>
            <c:numRef>
              <c:f>'Top 10 Reviews.'!$B$4:$B$14</c:f>
              <c:numCache>
                <c:formatCode>General</c:formatCode>
                <c:ptCount val="10"/>
                <c:pt idx="0">
                  <c:v>2157.3333333333335</c:v>
                </c:pt>
                <c:pt idx="1">
                  <c:v>3971</c:v>
                </c:pt>
                <c:pt idx="2">
                  <c:v>3152.2857142857142</c:v>
                </c:pt>
                <c:pt idx="3">
                  <c:v>2996.75</c:v>
                </c:pt>
                <c:pt idx="4">
                  <c:v>2123.6666666666665</c:v>
                </c:pt>
                <c:pt idx="5">
                  <c:v>2256.6666666666665</c:v>
                </c:pt>
                <c:pt idx="6">
                  <c:v>2574.5</c:v>
                </c:pt>
                <c:pt idx="7">
                  <c:v>2923</c:v>
                </c:pt>
                <c:pt idx="8">
                  <c:v>2699</c:v>
                </c:pt>
                <c:pt idx="9">
                  <c:v>3032</c:v>
                </c:pt>
              </c:numCache>
            </c:numRef>
          </c:val>
          <c:extLst>
            <c:ext xmlns:c16="http://schemas.microsoft.com/office/drawing/2014/chart" uri="{C3380CC4-5D6E-409C-BE32-E72D297353CC}">
              <c16:uniqueId val="{00000000-B224-47DB-A714-E986E2DE4553}"/>
            </c:ext>
          </c:extLst>
        </c:ser>
        <c:dLbls>
          <c:showLegendKey val="0"/>
          <c:showVal val="0"/>
          <c:showCatName val="0"/>
          <c:showSerName val="0"/>
          <c:showPercent val="0"/>
          <c:showBubbleSize val="0"/>
        </c:dLbls>
        <c:gapWidth val="219"/>
        <c:overlap val="-27"/>
        <c:axId val="788112896"/>
        <c:axId val="1635483568"/>
      </c:barChart>
      <c:catAx>
        <c:axId val="7881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83568"/>
        <c:crosses val="autoZero"/>
        <c:auto val="1"/>
        <c:lblAlgn val="ctr"/>
        <c:lblOffset val="100"/>
        <c:noMultiLvlLbl val="0"/>
      </c:catAx>
      <c:valAx>
        <c:axId val="163548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1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Cleaned..xlsx]Price Category,Average Rating.!PivotTable50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Price</a:t>
            </a:r>
            <a:r>
              <a:rPr lang="en-US" b="1" baseline="0">
                <a:solidFill>
                  <a:schemeClr val="accent1"/>
                </a:solidFill>
              </a:rPr>
              <a:t> Category With Average Rating.</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Category,Average Rating.'!$B$3</c:f>
              <c:strCache>
                <c:ptCount val="1"/>
                <c:pt idx="0">
                  <c:v>Total</c:v>
                </c:pt>
              </c:strCache>
            </c:strRef>
          </c:tx>
          <c:spPr>
            <a:solidFill>
              <a:schemeClr val="accent1"/>
            </a:solidFill>
            <a:ln>
              <a:noFill/>
            </a:ln>
            <a:effectLst/>
          </c:spPr>
          <c:invertIfNegative val="0"/>
          <c:cat>
            <c:strRef>
              <c:f>'Price Category,Average Rating.'!$A$4:$A$7</c:f>
              <c:strCache>
                <c:ptCount val="3"/>
                <c:pt idx="0">
                  <c:v>High Price</c:v>
                </c:pt>
                <c:pt idx="1">
                  <c:v>Low Price</c:v>
                </c:pt>
                <c:pt idx="2">
                  <c:v>Medium Price</c:v>
                </c:pt>
              </c:strCache>
            </c:strRef>
          </c:cat>
          <c:val>
            <c:numRef>
              <c:f>'Price Category,Average Rating.'!$B$4:$B$7</c:f>
              <c:numCache>
                <c:formatCode>General</c:formatCode>
                <c:ptCount val="3"/>
                <c:pt idx="0">
                  <c:v>4.0666666666666655</c:v>
                </c:pt>
                <c:pt idx="1">
                  <c:v>3.6357142857142857</c:v>
                </c:pt>
                <c:pt idx="2">
                  <c:v>3.8526315789473684</c:v>
                </c:pt>
              </c:numCache>
            </c:numRef>
          </c:val>
          <c:extLst>
            <c:ext xmlns:c16="http://schemas.microsoft.com/office/drawing/2014/chart" uri="{C3380CC4-5D6E-409C-BE32-E72D297353CC}">
              <c16:uniqueId val="{00000000-0C13-42AE-8C84-8C22B1A26BE4}"/>
            </c:ext>
          </c:extLst>
        </c:ser>
        <c:dLbls>
          <c:showLegendKey val="0"/>
          <c:showVal val="0"/>
          <c:showCatName val="0"/>
          <c:showSerName val="0"/>
          <c:showPercent val="0"/>
          <c:showBubbleSize val="0"/>
        </c:dLbls>
        <c:gapWidth val="219"/>
        <c:overlap val="-27"/>
        <c:axId val="1018652272"/>
        <c:axId val="1635486928"/>
      </c:barChart>
      <c:catAx>
        <c:axId val="10186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86928"/>
        <c:crosses val="autoZero"/>
        <c:auto val="1"/>
        <c:lblAlgn val="ctr"/>
        <c:lblOffset val="100"/>
        <c:noMultiLvlLbl val="0"/>
      </c:catAx>
      <c:valAx>
        <c:axId val="163548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5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Cleaned..xlsx]Discount Category.!PivotTable54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Category.'!$B$3</c:f>
              <c:strCache>
                <c:ptCount val="1"/>
                <c:pt idx="0">
                  <c:v>Total</c:v>
                </c:pt>
              </c:strCache>
            </c:strRef>
          </c:tx>
          <c:spPr>
            <a:solidFill>
              <a:schemeClr val="accent1"/>
            </a:solidFill>
            <a:ln>
              <a:noFill/>
            </a:ln>
            <a:effectLst/>
          </c:spPr>
          <c:invertIfNegative val="0"/>
          <c:cat>
            <c:strRef>
              <c:f>'Discount Category.'!$A$4:$A$6</c:f>
              <c:strCache>
                <c:ptCount val="2"/>
                <c:pt idx="0">
                  <c:v>Low Discount</c:v>
                </c:pt>
                <c:pt idx="1">
                  <c:v>Medium Discount</c:v>
                </c:pt>
              </c:strCache>
            </c:strRef>
          </c:cat>
          <c:val>
            <c:numRef>
              <c:f>'Discount Category.'!$B$4:$B$6</c:f>
              <c:numCache>
                <c:formatCode>General</c:formatCode>
                <c:ptCount val="2"/>
                <c:pt idx="0">
                  <c:v>18</c:v>
                </c:pt>
                <c:pt idx="1">
                  <c:v>99</c:v>
                </c:pt>
              </c:numCache>
            </c:numRef>
          </c:val>
          <c:extLst>
            <c:ext xmlns:c16="http://schemas.microsoft.com/office/drawing/2014/chart" uri="{C3380CC4-5D6E-409C-BE32-E72D297353CC}">
              <c16:uniqueId val="{00000000-A08D-47C0-8913-E06B41D3995A}"/>
            </c:ext>
          </c:extLst>
        </c:ser>
        <c:dLbls>
          <c:showLegendKey val="0"/>
          <c:showVal val="0"/>
          <c:showCatName val="0"/>
          <c:showSerName val="0"/>
          <c:showPercent val="0"/>
          <c:showBubbleSize val="0"/>
        </c:dLbls>
        <c:gapWidth val="219"/>
        <c:overlap val="-27"/>
        <c:axId val="788194096"/>
        <c:axId val="1635433168"/>
      </c:barChart>
      <c:catAx>
        <c:axId val="7881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33168"/>
        <c:crosses val="autoZero"/>
        <c:auto val="1"/>
        <c:lblAlgn val="ctr"/>
        <c:lblOffset val="100"/>
        <c:noMultiLvlLbl val="0"/>
      </c:catAx>
      <c:valAx>
        <c:axId val="163543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9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25400</xdr:colOff>
      <xdr:row>1</xdr:row>
      <xdr:rowOff>173037</xdr:rowOff>
    </xdr:from>
    <xdr:to>
      <xdr:col>9</xdr:col>
      <xdr:colOff>330200</xdr:colOff>
      <xdr:row>17</xdr:row>
      <xdr:rowOff>17462</xdr:rowOff>
    </xdr:to>
    <xdr:graphicFrame macro="">
      <xdr:nvGraphicFramePr>
        <xdr:cNvPr id="2" name="Chart 1">
          <a:extLst>
            <a:ext uri="{FF2B5EF4-FFF2-40B4-BE49-F238E27FC236}">
              <a16:creationId xmlns:a16="http://schemas.microsoft.com/office/drawing/2014/main" id="{DB687307-4B23-5962-AB56-EE0B8ACFA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1</xdr:row>
      <xdr:rowOff>112712</xdr:rowOff>
    </xdr:from>
    <xdr:to>
      <xdr:col>8</xdr:col>
      <xdr:colOff>323850</xdr:colOff>
      <xdr:row>16</xdr:row>
      <xdr:rowOff>141287</xdr:rowOff>
    </xdr:to>
    <xdr:graphicFrame macro="">
      <xdr:nvGraphicFramePr>
        <xdr:cNvPr id="2" name="Chart 1">
          <a:extLst>
            <a:ext uri="{FF2B5EF4-FFF2-40B4-BE49-F238E27FC236}">
              <a16:creationId xmlns:a16="http://schemas.microsoft.com/office/drawing/2014/main" id="{B22D6491-1277-B34A-DED5-71FC0076C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101600</xdr:colOff>
      <xdr:row>2</xdr:row>
      <xdr:rowOff>55562</xdr:rowOff>
    </xdr:from>
    <xdr:to>
      <xdr:col>9</xdr:col>
      <xdr:colOff>406400</xdr:colOff>
      <xdr:row>17</xdr:row>
      <xdr:rowOff>87312</xdr:rowOff>
    </xdr:to>
    <xdr:graphicFrame macro="">
      <xdr:nvGraphicFramePr>
        <xdr:cNvPr id="2" name="Chart 1">
          <a:extLst>
            <a:ext uri="{FF2B5EF4-FFF2-40B4-BE49-F238E27FC236}">
              <a16:creationId xmlns:a16="http://schemas.microsoft.com/office/drawing/2014/main" id="{EE15AA4D-ACB9-2546-28E7-D7A77B2C3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1</xdr:row>
      <xdr:rowOff>150812</xdr:rowOff>
    </xdr:from>
    <xdr:to>
      <xdr:col>9</xdr:col>
      <xdr:colOff>438150</xdr:colOff>
      <xdr:row>16</xdr:row>
      <xdr:rowOff>179387</xdr:rowOff>
    </xdr:to>
    <xdr:graphicFrame macro="">
      <xdr:nvGraphicFramePr>
        <xdr:cNvPr id="2" name="Chart 1">
          <a:extLst>
            <a:ext uri="{FF2B5EF4-FFF2-40B4-BE49-F238E27FC236}">
              <a16:creationId xmlns:a16="http://schemas.microsoft.com/office/drawing/2014/main" id="{0688EB13-D677-163F-B59A-EEEBAA105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4</xdr:row>
      <xdr:rowOff>93662</xdr:rowOff>
    </xdr:from>
    <xdr:to>
      <xdr:col>9</xdr:col>
      <xdr:colOff>561975</xdr:colOff>
      <xdr:row>19</xdr:row>
      <xdr:rowOff>122237</xdr:rowOff>
    </xdr:to>
    <xdr:graphicFrame macro="">
      <xdr:nvGraphicFramePr>
        <xdr:cNvPr id="2" name="Chart 1">
          <a:extLst>
            <a:ext uri="{FF2B5EF4-FFF2-40B4-BE49-F238E27FC236}">
              <a16:creationId xmlns:a16="http://schemas.microsoft.com/office/drawing/2014/main" id="{D46838A7-4FC2-1E30-5F40-B980C0AF0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155574</xdr:colOff>
      <xdr:row>1</xdr:row>
      <xdr:rowOff>38100</xdr:rowOff>
    </xdr:from>
    <xdr:to>
      <xdr:col>24</xdr:col>
      <xdr:colOff>514349</xdr:colOff>
      <xdr:row>4</xdr:row>
      <xdr:rowOff>82550</xdr:rowOff>
    </xdr:to>
    <xdr:sp macro="" textlink="">
      <xdr:nvSpPr>
        <xdr:cNvPr id="2" name="Rectangle: Rounded Corners 1">
          <a:extLst>
            <a:ext uri="{FF2B5EF4-FFF2-40B4-BE49-F238E27FC236}">
              <a16:creationId xmlns:a16="http://schemas.microsoft.com/office/drawing/2014/main" id="{51858CD6-B5A6-B505-0312-99919B1E19E3}"/>
            </a:ext>
          </a:extLst>
        </xdr:cNvPr>
        <xdr:cNvSpPr/>
      </xdr:nvSpPr>
      <xdr:spPr>
        <a:xfrm>
          <a:off x="155574" y="219075"/>
          <a:ext cx="14989175" cy="5873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chemeClr val="accent2"/>
              </a:solidFill>
            </a:rPr>
            <a:t>Product Analytics Dashboard</a:t>
          </a:r>
        </a:p>
      </xdr:txBody>
    </xdr:sp>
    <xdr:clientData/>
  </xdr:twoCellAnchor>
  <xdr:twoCellAnchor>
    <xdr:from>
      <xdr:col>0</xdr:col>
      <xdr:colOff>139700</xdr:colOff>
      <xdr:row>4</xdr:row>
      <xdr:rowOff>158750</xdr:rowOff>
    </xdr:from>
    <xdr:to>
      <xdr:col>4</xdr:col>
      <xdr:colOff>66675</xdr:colOff>
      <xdr:row>8</xdr:row>
      <xdr:rowOff>95250</xdr:rowOff>
    </xdr:to>
    <xdr:sp macro="" textlink="">
      <xdr:nvSpPr>
        <xdr:cNvPr id="3" name="Rectangle: Rounded Corners 2">
          <a:extLst>
            <a:ext uri="{FF2B5EF4-FFF2-40B4-BE49-F238E27FC236}">
              <a16:creationId xmlns:a16="http://schemas.microsoft.com/office/drawing/2014/main" id="{14AC64FC-6A1A-CB42-19D9-391C1D4AB382}"/>
            </a:ext>
          </a:extLst>
        </xdr:cNvPr>
        <xdr:cNvSpPr/>
      </xdr:nvSpPr>
      <xdr:spPr>
        <a:xfrm>
          <a:off x="139700" y="882650"/>
          <a:ext cx="2365375" cy="6604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2"/>
              </a:solidFill>
            </a:rPr>
            <a:t>Total Product Review.</a:t>
          </a:r>
        </a:p>
        <a:p>
          <a:pPr algn="l"/>
          <a:r>
            <a:rPr lang="en-US" sz="1400" b="1">
              <a:solidFill>
                <a:schemeClr val="accent2"/>
              </a:solidFill>
            </a:rPr>
            <a:t>723.</a:t>
          </a:r>
        </a:p>
        <a:p>
          <a:pPr algn="l"/>
          <a:endParaRPr lang="en-US" sz="1100"/>
        </a:p>
      </xdr:txBody>
    </xdr:sp>
    <xdr:clientData/>
  </xdr:twoCellAnchor>
  <xdr:twoCellAnchor>
    <xdr:from>
      <xdr:col>4</xdr:col>
      <xdr:colOff>158750</xdr:colOff>
      <xdr:row>5</xdr:row>
      <xdr:rowOff>19050</xdr:rowOff>
    </xdr:from>
    <xdr:to>
      <xdr:col>7</xdr:col>
      <xdr:colOff>454025</xdr:colOff>
      <xdr:row>8</xdr:row>
      <xdr:rowOff>101600</xdr:rowOff>
    </xdr:to>
    <xdr:sp macro="" textlink="">
      <xdr:nvSpPr>
        <xdr:cNvPr id="4" name="Rectangle: Rounded Corners 3">
          <a:extLst>
            <a:ext uri="{FF2B5EF4-FFF2-40B4-BE49-F238E27FC236}">
              <a16:creationId xmlns:a16="http://schemas.microsoft.com/office/drawing/2014/main" id="{EF360EEE-E872-1A16-858A-69421ED4EA71}"/>
            </a:ext>
          </a:extLst>
        </xdr:cNvPr>
        <xdr:cNvSpPr/>
      </xdr:nvSpPr>
      <xdr:spPr>
        <a:xfrm>
          <a:off x="2597150" y="923925"/>
          <a:ext cx="2124075" cy="625475"/>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2"/>
              </a:solidFill>
            </a:rPr>
            <a:t>Average Price.</a:t>
          </a:r>
        </a:p>
        <a:p>
          <a:pPr algn="l"/>
          <a:r>
            <a:rPr lang="en-US" sz="1400" b="1" i="0" u="none" strike="noStrike">
              <a:solidFill>
                <a:schemeClr val="accent2"/>
              </a:solidFill>
              <a:effectLst/>
              <a:latin typeface="+mn-lt"/>
              <a:ea typeface="+mn-ea"/>
              <a:cs typeface="+mn-cs"/>
            </a:rPr>
            <a:t>1174.356522</a:t>
          </a:r>
          <a:r>
            <a:rPr lang="en-US" sz="1400" b="1">
              <a:solidFill>
                <a:schemeClr val="accent2"/>
              </a:solidFill>
              <a:effectLst/>
            </a:rPr>
            <a:t> </a:t>
          </a:r>
          <a:endParaRPr lang="en-US" sz="1400" b="1">
            <a:solidFill>
              <a:schemeClr val="accent2"/>
            </a:solidFill>
          </a:endParaRPr>
        </a:p>
      </xdr:txBody>
    </xdr:sp>
    <xdr:clientData/>
  </xdr:twoCellAnchor>
  <xdr:twoCellAnchor>
    <xdr:from>
      <xdr:col>7</xdr:col>
      <xdr:colOff>549275</xdr:colOff>
      <xdr:row>4</xdr:row>
      <xdr:rowOff>158749</xdr:rowOff>
    </xdr:from>
    <xdr:to>
      <xdr:col>11</xdr:col>
      <xdr:colOff>476250</xdr:colOff>
      <xdr:row>8</xdr:row>
      <xdr:rowOff>66674</xdr:rowOff>
    </xdr:to>
    <xdr:sp macro="" textlink="">
      <xdr:nvSpPr>
        <xdr:cNvPr id="7" name="Rectangle: Rounded Corners 6">
          <a:extLst>
            <a:ext uri="{FF2B5EF4-FFF2-40B4-BE49-F238E27FC236}">
              <a16:creationId xmlns:a16="http://schemas.microsoft.com/office/drawing/2014/main" id="{3178D344-394F-43EF-A9FA-D65B3DF64A80}"/>
            </a:ext>
          </a:extLst>
        </xdr:cNvPr>
        <xdr:cNvSpPr/>
      </xdr:nvSpPr>
      <xdr:spPr>
        <a:xfrm>
          <a:off x="4816475" y="882649"/>
          <a:ext cx="2365375" cy="631825"/>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2"/>
              </a:solidFill>
            </a:rPr>
            <a:t>Average Discount.</a:t>
          </a:r>
        </a:p>
        <a:p>
          <a:pPr algn="l"/>
          <a:r>
            <a:rPr lang="en-US" sz="1400" b="1" i="0" u="none" strike="noStrike">
              <a:solidFill>
                <a:schemeClr val="accent2"/>
              </a:solidFill>
              <a:effectLst/>
              <a:latin typeface="+mn-lt"/>
              <a:ea typeface="+mn-ea"/>
              <a:cs typeface="+mn-cs"/>
            </a:rPr>
            <a:t>0.371282051</a:t>
          </a:r>
          <a:r>
            <a:rPr lang="en-US" sz="1400" b="1">
              <a:solidFill>
                <a:schemeClr val="accent2"/>
              </a:solidFill>
              <a:effectLst/>
            </a:rPr>
            <a:t> </a:t>
          </a:r>
          <a:endParaRPr lang="en-US" sz="1400" b="1">
            <a:solidFill>
              <a:schemeClr val="accent2"/>
            </a:solidFill>
          </a:endParaRPr>
        </a:p>
      </xdr:txBody>
    </xdr:sp>
    <xdr:clientData/>
  </xdr:twoCellAnchor>
  <xdr:twoCellAnchor>
    <xdr:from>
      <xdr:col>11</xdr:col>
      <xdr:colOff>581025</xdr:colOff>
      <xdr:row>5</xdr:row>
      <xdr:rowOff>0</xdr:rowOff>
    </xdr:from>
    <xdr:to>
      <xdr:col>15</xdr:col>
      <xdr:colOff>501650</xdr:colOff>
      <xdr:row>8</xdr:row>
      <xdr:rowOff>47625</xdr:rowOff>
    </xdr:to>
    <xdr:sp macro="" textlink="">
      <xdr:nvSpPr>
        <xdr:cNvPr id="8" name="Rectangle: Rounded Corners 7">
          <a:extLst>
            <a:ext uri="{FF2B5EF4-FFF2-40B4-BE49-F238E27FC236}">
              <a16:creationId xmlns:a16="http://schemas.microsoft.com/office/drawing/2014/main" id="{F16F0358-5E0E-4728-AE7E-0091960371C8}"/>
            </a:ext>
          </a:extLst>
        </xdr:cNvPr>
        <xdr:cNvSpPr/>
      </xdr:nvSpPr>
      <xdr:spPr>
        <a:xfrm>
          <a:off x="7286625" y="904875"/>
          <a:ext cx="2359025" cy="59055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2"/>
              </a:solidFill>
            </a:rPr>
            <a:t>Average Rating</a:t>
          </a:r>
        </a:p>
        <a:p>
          <a:pPr algn="l"/>
          <a:r>
            <a:rPr lang="en-US" sz="1400" b="1" i="0" u="none" strike="noStrike">
              <a:solidFill>
                <a:schemeClr val="accent2"/>
              </a:solidFill>
              <a:effectLst/>
              <a:latin typeface="+mn-lt"/>
              <a:ea typeface="+mn-ea"/>
              <a:cs typeface="+mn-cs"/>
            </a:rPr>
            <a:t>3.88947368</a:t>
          </a:r>
          <a:r>
            <a:rPr lang="en-US" sz="1400" b="1">
              <a:solidFill>
                <a:schemeClr val="accent2"/>
              </a:solidFill>
              <a:effectLst/>
            </a:rPr>
            <a:t> </a:t>
          </a:r>
          <a:endParaRPr lang="en-US" sz="1400" b="1">
            <a:solidFill>
              <a:schemeClr val="accent2"/>
            </a:solidFill>
          </a:endParaRPr>
        </a:p>
      </xdr:txBody>
    </xdr:sp>
    <xdr:clientData/>
  </xdr:twoCellAnchor>
  <xdr:twoCellAnchor>
    <xdr:from>
      <xdr:col>16</xdr:col>
      <xdr:colOff>25400</xdr:colOff>
      <xdr:row>5</xdr:row>
      <xdr:rowOff>15875</xdr:rowOff>
    </xdr:from>
    <xdr:to>
      <xdr:col>19</xdr:col>
      <xdr:colOff>561975</xdr:colOff>
      <xdr:row>8</xdr:row>
      <xdr:rowOff>76200</xdr:rowOff>
    </xdr:to>
    <xdr:sp macro="" textlink="">
      <xdr:nvSpPr>
        <xdr:cNvPr id="9" name="Rectangle: Rounded Corners 8">
          <a:extLst>
            <a:ext uri="{FF2B5EF4-FFF2-40B4-BE49-F238E27FC236}">
              <a16:creationId xmlns:a16="http://schemas.microsoft.com/office/drawing/2014/main" id="{7D2D8B10-3A22-428C-BA9B-9AD731772CC6}"/>
            </a:ext>
          </a:extLst>
        </xdr:cNvPr>
        <xdr:cNvSpPr/>
      </xdr:nvSpPr>
      <xdr:spPr>
        <a:xfrm>
          <a:off x="9779000" y="920750"/>
          <a:ext cx="2365375" cy="60325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2"/>
              </a:solidFill>
            </a:rPr>
            <a:t>Reviews.</a:t>
          </a:r>
        </a:p>
        <a:p>
          <a:pPr algn="l"/>
          <a:r>
            <a:rPr lang="en-US" sz="1400" b="1" i="0" u="none" strike="noStrike">
              <a:solidFill>
                <a:schemeClr val="accent2"/>
              </a:solidFill>
              <a:effectLst/>
              <a:latin typeface="+mn-lt"/>
              <a:ea typeface="+mn-ea"/>
              <a:cs typeface="+mn-cs"/>
            </a:rPr>
            <a:t>3.88947368</a:t>
          </a:r>
          <a:r>
            <a:rPr lang="en-US" sz="1400" b="1">
              <a:solidFill>
                <a:schemeClr val="accent2"/>
              </a:solidFill>
              <a:effectLst/>
            </a:rPr>
            <a:t> </a:t>
          </a:r>
          <a:endParaRPr lang="en-US" sz="1400" b="1">
            <a:solidFill>
              <a:schemeClr val="accent2"/>
            </a:solidFill>
          </a:endParaRPr>
        </a:p>
      </xdr:txBody>
    </xdr:sp>
    <xdr:clientData/>
  </xdr:twoCellAnchor>
  <xdr:twoCellAnchor>
    <xdr:from>
      <xdr:col>0</xdr:col>
      <xdr:colOff>0</xdr:colOff>
      <xdr:row>8</xdr:row>
      <xdr:rowOff>142875</xdr:rowOff>
    </xdr:from>
    <xdr:to>
      <xdr:col>7</xdr:col>
      <xdr:colOff>247650</xdr:colOff>
      <xdr:row>23</xdr:row>
      <xdr:rowOff>168275</xdr:rowOff>
    </xdr:to>
    <xdr:graphicFrame macro="">
      <xdr:nvGraphicFramePr>
        <xdr:cNvPr id="11" name="Chart 10">
          <a:extLst>
            <a:ext uri="{FF2B5EF4-FFF2-40B4-BE49-F238E27FC236}">
              <a16:creationId xmlns:a16="http://schemas.microsoft.com/office/drawing/2014/main" id="{2F4E4242-06AB-45DE-9911-8ED1D7743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8</xdr:row>
      <xdr:rowOff>152400</xdr:rowOff>
    </xdr:from>
    <xdr:to>
      <xdr:col>14</xdr:col>
      <xdr:colOff>425450</xdr:colOff>
      <xdr:row>24</xdr:row>
      <xdr:rowOff>0</xdr:rowOff>
    </xdr:to>
    <xdr:graphicFrame macro="">
      <xdr:nvGraphicFramePr>
        <xdr:cNvPr id="12" name="Chart 11">
          <a:extLst>
            <a:ext uri="{FF2B5EF4-FFF2-40B4-BE49-F238E27FC236}">
              <a16:creationId xmlns:a16="http://schemas.microsoft.com/office/drawing/2014/main" id="{EE4279E2-00F2-4783-8047-F0C8A8018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447675</xdr:colOff>
      <xdr:row>8</xdr:row>
      <xdr:rowOff>161925</xdr:rowOff>
    </xdr:from>
    <xdr:to>
      <xdr:col>22</xdr:col>
      <xdr:colOff>142875</xdr:colOff>
      <xdr:row>24</xdr:row>
      <xdr:rowOff>6350</xdr:rowOff>
    </xdr:to>
    <xdr:graphicFrame macro="">
      <xdr:nvGraphicFramePr>
        <xdr:cNvPr id="13" name="Chart 12">
          <a:extLst>
            <a:ext uri="{FF2B5EF4-FFF2-40B4-BE49-F238E27FC236}">
              <a16:creationId xmlns:a16="http://schemas.microsoft.com/office/drawing/2014/main" id="{050B0533-C716-4F81-AF3E-988427436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38100</xdr:rowOff>
    </xdr:from>
    <xdr:to>
      <xdr:col>7</xdr:col>
      <xdr:colOff>304800</xdr:colOff>
      <xdr:row>39</xdr:row>
      <xdr:rowOff>66675</xdr:rowOff>
    </xdr:to>
    <xdr:graphicFrame macro="">
      <xdr:nvGraphicFramePr>
        <xdr:cNvPr id="14" name="Chart 13">
          <a:extLst>
            <a:ext uri="{FF2B5EF4-FFF2-40B4-BE49-F238E27FC236}">
              <a16:creationId xmlns:a16="http://schemas.microsoft.com/office/drawing/2014/main" id="{695700CF-6E07-44F5-9CE0-178177606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333375</xdr:colOff>
      <xdr:row>24</xdr:row>
      <xdr:rowOff>38100</xdr:rowOff>
    </xdr:from>
    <xdr:to>
      <xdr:col>15</xdr:col>
      <xdr:colOff>34925</xdr:colOff>
      <xdr:row>39</xdr:row>
      <xdr:rowOff>63500</xdr:rowOff>
    </xdr:to>
    <xdr:graphicFrame macro="">
      <xdr:nvGraphicFramePr>
        <xdr:cNvPr id="15" name="Chart 14">
          <a:extLst>
            <a:ext uri="{FF2B5EF4-FFF2-40B4-BE49-F238E27FC236}">
              <a16:creationId xmlns:a16="http://schemas.microsoft.com/office/drawing/2014/main" id="{279C8F82-493A-49C2-B606-B25C6F511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95250</xdr:colOff>
      <xdr:row>24</xdr:row>
      <xdr:rowOff>66675</xdr:rowOff>
    </xdr:from>
    <xdr:to>
      <xdr:col>22</xdr:col>
      <xdr:colOff>400050</xdr:colOff>
      <xdr:row>39</xdr:row>
      <xdr:rowOff>95250</xdr:rowOff>
    </xdr:to>
    <xdr:graphicFrame macro="">
      <xdr:nvGraphicFramePr>
        <xdr:cNvPr id="17" name="Chart 16">
          <a:extLst>
            <a:ext uri="{FF2B5EF4-FFF2-40B4-BE49-F238E27FC236}">
              <a16:creationId xmlns:a16="http://schemas.microsoft.com/office/drawing/2014/main" id="{772B816C-710A-46FF-840C-9C7F098CA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39</xdr:row>
      <xdr:rowOff>123825</xdr:rowOff>
    </xdr:from>
    <xdr:to>
      <xdr:col>7</xdr:col>
      <xdr:colOff>304800</xdr:colOff>
      <xdr:row>54</xdr:row>
      <xdr:rowOff>152400</xdr:rowOff>
    </xdr:to>
    <xdr:graphicFrame macro="">
      <xdr:nvGraphicFramePr>
        <xdr:cNvPr id="18" name="Chart 17">
          <a:extLst>
            <a:ext uri="{FF2B5EF4-FFF2-40B4-BE49-F238E27FC236}">
              <a16:creationId xmlns:a16="http://schemas.microsoft.com/office/drawing/2014/main" id="{39834A59-CCC7-4137-AE13-F05951435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333375</xdr:colOff>
      <xdr:row>39</xdr:row>
      <xdr:rowOff>95250</xdr:rowOff>
    </xdr:from>
    <xdr:to>
      <xdr:col>15</xdr:col>
      <xdr:colOff>28575</xdr:colOff>
      <xdr:row>54</xdr:row>
      <xdr:rowOff>120650</xdr:rowOff>
    </xdr:to>
    <xdr:graphicFrame macro="">
      <xdr:nvGraphicFramePr>
        <xdr:cNvPr id="21" name="Chart 20">
          <a:extLst>
            <a:ext uri="{FF2B5EF4-FFF2-40B4-BE49-F238E27FC236}">
              <a16:creationId xmlns:a16="http://schemas.microsoft.com/office/drawing/2014/main" id="{3510A3D2-FEA5-40E8-8BA6-232EF4B7F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104775</xdr:colOff>
      <xdr:row>39</xdr:row>
      <xdr:rowOff>142875</xdr:rowOff>
    </xdr:from>
    <xdr:to>
      <xdr:col>22</xdr:col>
      <xdr:colOff>409575</xdr:colOff>
      <xdr:row>54</xdr:row>
      <xdr:rowOff>168275</xdr:rowOff>
    </xdr:to>
    <xdr:graphicFrame macro="">
      <xdr:nvGraphicFramePr>
        <xdr:cNvPr id="22" name="Chart 21">
          <a:extLst>
            <a:ext uri="{FF2B5EF4-FFF2-40B4-BE49-F238E27FC236}">
              <a16:creationId xmlns:a16="http://schemas.microsoft.com/office/drawing/2014/main" id="{6DFD7F62-42EE-4560-A04D-45D5A08B4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428625</xdr:colOff>
      <xdr:row>9</xdr:row>
      <xdr:rowOff>101600</xdr:rowOff>
    </xdr:from>
    <xdr:to>
      <xdr:col>25</xdr:col>
      <xdr:colOff>434975</xdr:colOff>
      <xdr:row>16</xdr:row>
      <xdr:rowOff>57150</xdr:rowOff>
    </xdr:to>
    <mc:AlternateContent xmlns:mc="http://schemas.openxmlformats.org/markup-compatibility/2006">
      <mc:Choice xmlns:a14="http://schemas.microsoft.com/office/drawing/2010/main" Requires="a14">
        <xdr:graphicFrame macro="">
          <xdr:nvGraphicFramePr>
            <xdr:cNvPr id="23" name="Price Category. 1">
              <a:extLst>
                <a:ext uri="{FF2B5EF4-FFF2-40B4-BE49-F238E27FC236}">
                  <a16:creationId xmlns:a16="http://schemas.microsoft.com/office/drawing/2014/main" id="{7A7AE20B-DB99-4240-9BFB-8448F64F36BD}"/>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13760450" y="1793298"/>
              <a:ext cx="1827934" cy="1265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434975</xdr:colOff>
      <xdr:row>16</xdr:row>
      <xdr:rowOff>123825</xdr:rowOff>
    </xdr:from>
    <xdr:to>
      <xdr:col>25</xdr:col>
      <xdr:colOff>447675</xdr:colOff>
      <xdr:row>23</xdr:row>
      <xdr:rowOff>53975</xdr:rowOff>
    </xdr:to>
    <mc:AlternateContent xmlns:mc="http://schemas.openxmlformats.org/markup-compatibility/2006">
      <mc:Choice xmlns:a14="http://schemas.microsoft.com/office/drawing/2010/main" Requires="a14">
        <xdr:graphicFrame macro="">
          <xdr:nvGraphicFramePr>
            <xdr:cNvPr id="25" name="Rating Category. 1">
              <a:extLst>
                <a:ext uri="{FF2B5EF4-FFF2-40B4-BE49-F238E27FC236}">
                  <a16:creationId xmlns:a16="http://schemas.microsoft.com/office/drawing/2014/main" id="{4B044997-F72E-49F0-81A8-43204C906010}"/>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3769975" y="3122468"/>
              <a:ext cx="1827934" cy="1246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476250</xdr:colOff>
      <xdr:row>23</xdr:row>
      <xdr:rowOff>130176</xdr:rowOff>
    </xdr:from>
    <xdr:to>
      <xdr:col>25</xdr:col>
      <xdr:colOff>476250</xdr:colOff>
      <xdr:row>29</xdr:row>
      <xdr:rowOff>76201</xdr:rowOff>
    </xdr:to>
    <mc:AlternateContent xmlns:mc="http://schemas.openxmlformats.org/markup-compatibility/2006">
      <mc:Choice xmlns:a14="http://schemas.microsoft.com/office/drawing/2010/main" Requires="a14">
        <xdr:graphicFrame macro="">
          <xdr:nvGraphicFramePr>
            <xdr:cNvPr id="26" name="Discount Category. 1">
              <a:extLst>
                <a:ext uri="{FF2B5EF4-FFF2-40B4-BE49-F238E27FC236}">
                  <a16:creationId xmlns:a16="http://schemas.microsoft.com/office/drawing/2014/main" id="{C0B82E77-4A96-4514-B197-517B9196B5C4}"/>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3811250" y="4445290"/>
              <a:ext cx="1818409" cy="1071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92075</xdr:colOff>
      <xdr:row>1</xdr:row>
      <xdr:rowOff>93662</xdr:rowOff>
    </xdr:from>
    <xdr:to>
      <xdr:col>9</xdr:col>
      <xdr:colOff>396875</xdr:colOff>
      <xdr:row>16</xdr:row>
      <xdr:rowOff>125412</xdr:rowOff>
    </xdr:to>
    <xdr:graphicFrame macro="">
      <xdr:nvGraphicFramePr>
        <xdr:cNvPr id="2" name="Chart 1">
          <a:extLst>
            <a:ext uri="{FF2B5EF4-FFF2-40B4-BE49-F238E27FC236}">
              <a16:creationId xmlns:a16="http://schemas.microsoft.com/office/drawing/2014/main" id="{06763EBD-AA2E-1B08-3A2A-8A5BCAB22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196850</xdr:colOff>
      <xdr:row>2</xdr:row>
      <xdr:rowOff>55562</xdr:rowOff>
    </xdr:from>
    <xdr:to>
      <xdr:col>9</xdr:col>
      <xdr:colOff>501650</xdr:colOff>
      <xdr:row>17</xdr:row>
      <xdr:rowOff>84137</xdr:rowOff>
    </xdr:to>
    <xdr:graphicFrame macro="">
      <xdr:nvGraphicFramePr>
        <xdr:cNvPr id="2" name="Chart 1">
          <a:extLst>
            <a:ext uri="{FF2B5EF4-FFF2-40B4-BE49-F238E27FC236}">
              <a16:creationId xmlns:a16="http://schemas.microsoft.com/office/drawing/2014/main" id="{3E35BB08-C01B-1B15-B3A1-9CB013FA3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200025</xdr:colOff>
      <xdr:row>1</xdr:row>
      <xdr:rowOff>131762</xdr:rowOff>
    </xdr:from>
    <xdr:to>
      <xdr:col>9</xdr:col>
      <xdr:colOff>504825</xdr:colOff>
      <xdr:row>16</xdr:row>
      <xdr:rowOff>160337</xdr:rowOff>
    </xdr:to>
    <xdr:graphicFrame macro="">
      <xdr:nvGraphicFramePr>
        <xdr:cNvPr id="2" name="Chart 1">
          <a:extLst>
            <a:ext uri="{FF2B5EF4-FFF2-40B4-BE49-F238E27FC236}">
              <a16:creationId xmlns:a16="http://schemas.microsoft.com/office/drawing/2014/main" id="{43498083-607D-71A4-0326-59133EF1E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254000</xdr:colOff>
      <xdr:row>1</xdr:row>
      <xdr:rowOff>134937</xdr:rowOff>
    </xdr:from>
    <xdr:to>
      <xdr:col>9</xdr:col>
      <xdr:colOff>558800</xdr:colOff>
      <xdr:row>16</xdr:row>
      <xdr:rowOff>160337</xdr:rowOff>
    </xdr:to>
    <xdr:graphicFrame macro="">
      <xdr:nvGraphicFramePr>
        <xdr:cNvPr id="2" name="Chart 1">
          <a:extLst>
            <a:ext uri="{FF2B5EF4-FFF2-40B4-BE49-F238E27FC236}">
              <a16:creationId xmlns:a16="http://schemas.microsoft.com/office/drawing/2014/main" id="{5B140C2A-6001-816E-1766-1574260B7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130175</xdr:colOff>
      <xdr:row>1</xdr:row>
      <xdr:rowOff>125412</xdr:rowOff>
    </xdr:from>
    <xdr:to>
      <xdr:col>9</xdr:col>
      <xdr:colOff>434975</xdr:colOff>
      <xdr:row>16</xdr:row>
      <xdr:rowOff>150812</xdr:rowOff>
    </xdr:to>
    <xdr:graphicFrame macro="">
      <xdr:nvGraphicFramePr>
        <xdr:cNvPr id="2" name="Chart 1">
          <a:extLst>
            <a:ext uri="{FF2B5EF4-FFF2-40B4-BE49-F238E27FC236}">
              <a16:creationId xmlns:a16="http://schemas.microsoft.com/office/drawing/2014/main" id="{7C84A66E-8C76-C763-543A-5081C44DB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25400</xdr:colOff>
      <xdr:row>2</xdr:row>
      <xdr:rowOff>46037</xdr:rowOff>
    </xdr:from>
    <xdr:to>
      <xdr:col>9</xdr:col>
      <xdr:colOff>330200</xdr:colOff>
      <xdr:row>17</xdr:row>
      <xdr:rowOff>77787</xdr:rowOff>
    </xdr:to>
    <xdr:graphicFrame macro="">
      <xdr:nvGraphicFramePr>
        <xdr:cNvPr id="2" name="Chart 1">
          <a:extLst>
            <a:ext uri="{FF2B5EF4-FFF2-40B4-BE49-F238E27FC236}">
              <a16:creationId xmlns:a16="http://schemas.microsoft.com/office/drawing/2014/main" id="{CFCE7CDD-5D9E-ED78-66FE-AA05134B8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520700</xdr:colOff>
      <xdr:row>0</xdr:row>
      <xdr:rowOff>46037</xdr:rowOff>
    </xdr:from>
    <xdr:to>
      <xdr:col>10</xdr:col>
      <xdr:colOff>215900</xdr:colOff>
      <xdr:row>15</xdr:row>
      <xdr:rowOff>74612</xdr:rowOff>
    </xdr:to>
    <xdr:graphicFrame macro="">
      <xdr:nvGraphicFramePr>
        <xdr:cNvPr id="2" name="Chart 1">
          <a:extLst>
            <a:ext uri="{FF2B5EF4-FFF2-40B4-BE49-F238E27FC236}">
              <a16:creationId xmlns:a16="http://schemas.microsoft.com/office/drawing/2014/main" id="{A068577F-5D17-654A-28C3-28CE4F4EF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415925</xdr:colOff>
      <xdr:row>5</xdr:row>
      <xdr:rowOff>92075</xdr:rowOff>
    </xdr:from>
    <xdr:to>
      <xdr:col>23</xdr:col>
      <xdr:colOff>419100</xdr:colOff>
      <xdr:row>19</xdr:row>
      <xdr:rowOff>85725</xdr:rowOff>
    </xdr:to>
    <mc:AlternateContent xmlns:mc="http://schemas.openxmlformats.org/markup-compatibility/2006">
      <mc:Choice xmlns:a14="http://schemas.microsoft.com/office/drawing/2010/main" Requires="a14">
        <xdr:graphicFrame macro="">
          <xdr:nvGraphicFramePr>
            <xdr:cNvPr id="3" name="Price Category.">
              <a:extLst>
                <a:ext uri="{FF2B5EF4-FFF2-40B4-BE49-F238E27FC236}">
                  <a16:creationId xmlns:a16="http://schemas.microsoft.com/office/drawing/2014/main" id="{DD533C0E-5BFB-6696-D6BE-7AEDF2870012}"/>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14017625" y="996950"/>
              <a:ext cx="1831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304800</xdr:colOff>
      <xdr:row>20</xdr:row>
      <xdr:rowOff>44450</xdr:rowOff>
    </xdr:from>
    <xdr:to>
      <xdr:col>24</xdr:col>
      <xdr:colOff>304800</xdr:colOff>
      <xdr:row>34</xdr:row>
      <xdr:rowOff>34925</xdr:rowOff>
    </xdr:to>
    <mc:AlternateContent xmlns:mc="http://schemas.openxmlformats.org/markup-compatibility/2006">
      <mc:Choice xmlns:a14="http://schemas.microsoft.com/office/drawing/2010/main" Requires="a14">
        <xdr:graphicFrame macro="">
          <xdr:nvGraphicFramePr>
            <xdr:cNvPr id="4" name="Discount Category.">
              <a:extLst>
                <a:ext uri="{FF2B5EF4-FFF2-40B4-BE49-F238E27FC236}">
                  <a16:creationId xmlns:a16="http://schemas.microsoft.com/office/drawing/2014/main" id="{5CDBF664-E459-3BC4-CCF4-47767D5E886D}"/>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14516100" y="3667125"/>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568325</xdr:colOff>
      <xdr:row>7</xdr:row>
      <xdr:rowOff>63500</xdr:rowOff>
    </xdr:from>
    <xdr:to>
      <xdr:col>20</xdr:col>
      <xdr:colOff>571500</xdr:colOff>
      <xdr:row>21</xdr:row>
      <xdr:rowOff>57150</xdr:rowOff>
    </xdr:to>
    <mc:AlternateContent xmlns:mc="http://schemas.openxmlformats.org/markup-compatibility/2006">
      <mc:Choice xmlns:a14="http://schemas.microsoft.com/office/drawing/2010/main" Requires="a14">
        <xdr:graphicFrame macro="">
          <xdr:nvGraphicFramePr>
            <xdr:cNvPr id="5" name="Rating Category.">
              <a:extLst>
                <a:ext uri="{FF2B5EF4-FFF2-40B4-BE49-F238E27FC236}">
                  <a16:creationId xmlns:a16="http://schemas.microsoft.com/office/drawing/2014/main" id="{EB087A02-4819-1B5E-F92C-7F93A1C041E1}"/>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12341225" y="1333500"/>
              <a:ext cx="1831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C" refreshedDate="46269.396295833336" createdVersion="8" refreshedVersion="8" minRefreshableVersion="3" recordCount="117" xr:uid="{815457A2-2761-4958-8372-AE4B30916788}">
  <cacheSource type="worksheet">
    <worksheetSource name="TableProducts"/>
  </cacheSource>
  <cacheFields count="10">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70">
      <sharedItems containsString="0" containsBlank="1" containsNumber="1" containsInteger="1" minValue="38" maxValue="3750"/>
    </cacheField>
    <cacheField name="Price Category." numFmtId="0">
      <sharedItems count="3">
        <s v="Medium Price"/>
        <s v="High Price"/>
        <s v="Low Price"/>
      </sharedItems>
    </cacheField>
    <cacheField name="Old Price." numFmtId="168">
      <sharedItems containsString="0" containsBlank="1" containsNumber="1" containsInteger="1" minValue="80" maxValue="6143"/>
    </cacheField>
    <cacheField name="Discount Amount." numFmtId="168">
      <sharedItems containsSemiMixedTypes="0" containsString="0" containsNumber="1" containsInteger="1" minValue="0"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2">
        <s v="Medium Discount"/>
        <s v="Low Discount"/>
      </sharedItems>
    </cacheField>
    <cacheField name="Reviews" numFmtId="0">
      <sharedItems containsString="0" containsBlank="1" containsNumber="1" containsInteger="1" minValue="0" maxValue="69" count="25">
        <n v="2"/>
        <n v="14"/>
        <n v="24"/>
        <n v="7"/>
        <n v="5"/>
        <n v="15"/>
        <n v="55"/>
        <n v="12"/>
        <n v="39"/>
        <n v="6"/>
        <n v="9"/>
        <n v="3"/>
        <n v="44"/>
        <n v="13"/>
        <n v="0"/>
        <n v="49"/>
        <n v="20"/>
        <n v="32"/>
        <n v="1"/>
        <n v="36"/>
        <n v="10"/>
        <n v="69"/>
        <n v="16"/>
        <n v="17"/>
        <m/>
      </sharedItems>
    </cacheField>
    <cacheField name="Ratings" numFmtId="0">
      <sharedItems containsBlank="1" containsMixedTypes="1" containsNumber="1" minValue="2" maxValue="5" count="24">
        <n v="4.5"/>
        <n v="4.0999999999999996"/>
        <n v="4.5999999999999996"/>
        <n v="4.7"/>
        <n v="4.8"/>
        <n v="4"/>
        <n v="3.8"/>
        <n v="4.2"/>
        <n v="5"/>
        <n v="3.3"/>
        <s v=""/>
        <n v="4.4000000000000004"/>
        <n v="4.3"/>
        <n v="2.5"/>
        <n v="3"/>
        <n v="2.1"/>
        <n v="2.8"/>
        <n v="2.7"/>
        <n v="2.9"/>
        <n v="2.2000000000000002"/>
        <n v="2.2999999999999998"/>
        <n v="2.6"/>
        <n v="2"/>
        <m/>
      </sharedItems>
    </cacheField>
    <cacheField name="Rating Category." numFmtId="0">
      <sharedItems count="3">
        <s v="Average"/>
        <s v="Excellent"/>
        <s v="Poor"/>
      </sharedItems>
    </cacheField>
  </cacheFields>
  <extLst>
    <ext xmlns:x14="http://schemas.microsoft.com/office/spreadsheetml/2009/9/main" uri="{725AE2AE-9491-48be-B2B4-4EB974FC3084}">
      <x14:pivotCacheDefinition pivotCacheId="186123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x v="0"/>
    <n v="950"/>
    <x v="0"/>
    <n v="1525"/>
    <n v="575"/>
    <x v="0"/>
    <x v="0"/>
    <x v="0"/>
    <x v="0"/>
    <x v="0"/>
  </r>
  <r>
    <x v="1"/>
    <n v="527"/>
    <x v="0"/>
    <n v="999"/>
    <n v="472"/>
    <x v="1"/>
    <x v="0"/>
    <x v="1"/>
    <x v="1"/>
    <x v="0"/>
  </r>
  <r>
    <x v="2"/>
    <n v="2199"/>
    <x v="1"/>
    <n v="2923"/>
    <n v="724"/>
    <x v="2"/>
    <x v="0"/>
    <x v="2"/>
    <x v="2"/>
    <x v="1"/>
  </r>
  <r>
    <x v="3"/>
    <n v="1580"/>
    <x v="1"/>
    <n v="2499"/>
    <n v="919"/>
    <x v="3"/>
    <x v="0"/>
    <x v="3"/>
    <x v="3"/>
    <x v="1"/>
  </r>
  <r>
    <x v="4"/>
    <n v="1740"/>
    <x v="1"/>
    <n v="2356"/>
    <n v="616"/>
    <x v="4"/>
    <x v="0"/>
    <x v="4"/>
    <x v="4"/>
    <x v="1"/>
  </r>
  <r>
    <x v="5"/>
    <n v="2999"/>
    <x v="1"/>
    <n v="3290"/>
    <n v="291"/>
    <x v="5"/>
    <x v="1"/>
    <x v="5"/>
    <x v="5"/>
    <x v="0"/>
  </r>
  <r>
    <x v="6"/>
    <n v="2319"/>
    <x v="1"/>
    <n v="3032"/>
    <n v="713"/>
    <x v="6"/>
    <x v="0"/>
    <x v="6"/>
    <x v="2"/>
    <x v="1"/>
  </r>
  <r>
    <x v="7"/>
    <n v="988"/>
    <x v="0"/>
    <n v="1580"/>
    <n v="592"/>
    <x v="3"/>
    <x v="0"/>
    <x v="0"/>
    <x v="5"/>
    <x v="0"/>
  </r>
  <r>
    <x v="8"/>
    <n v="1274"/>
    <x v="0"/>
    <n v="2800"/>
    <n v="1526"/>
    <x v="7"/>
    <x v="0"/>
    <x v="4"/>
    <x v="4"/>
    <x v="1"/>
  </r>
  <r>
    <x v="9"/>
    <n v="1600"/>
    <x v="1"/>
    <n v="2929"/>
    <n v="1329"/>
    <x v="8"/>
    <x v="0"/>
    <x v="4"/>
    <x v="6"/>
    <x v="0"/>
  </r>
  <r>
    <x v="10"/>
    <n v="799"/>
    <x v="0"/>
    <n v="999"/>
    <n v="200"/>
    <x v="9"/>
    <x v="0"/>
    <x v="7"/>
    <x v="1"/>
    <x v="0"/>
  </r>
  <r>
    <x v="11"/>
    <n v="990"/>
    <x v="0"/>
    <n v="1500"/>
    <n v="510"/>
    <x v="10"/>
    <x v="0"/>
    <x v="8"/>
    <x v="3"/>
    <x v="1"/>
  </r>
  <r>
    <x v="12"/>
    <n v="552"/>
    <x v="0"/>
    <n v="1035"/>
    <n v="483"/>
    <x v="1"/>
    <x v="0"/>
    <x v="7"/>
    <x v="4"/>
    <x v="1"/>
  </r>
  <r>
    <x v="13"/>
    <n v="501"/>
    <x v="0"/>
    <n v="860"/>
    <n v="359"/>
    <x v="11"/>
    <x v="0"/>
    <x v="9"/>
    <x v="0"/>
    <x v="0"/>
  </r>
  <r>
    <x v="14"/>
    <n v="1680"/>
    <x v="1"/>
    <n v="2499"/>
    <n v="819"/>
    <x v="12"/>
    <x v="0"/>
    <x v="10"/>
    <x v="7"/>
    <x v="0"/>
  </r>
  <r>
    <x v="15"/>
    <n v="332"/>
    <x v="2"/>
    <n v="684"/>
    <n v="352"/>
    <x v="13"/>
    <x v="0"/>
    <x v="0"/>
    <x v="8"/>
    <x v="1"/>
  </r>
  <r>
    <x v="16"/>
    <n v="195"/>
    <x v="2"/>
    <n v="360"/>
    <n v="165"/>
    <x v="14"/>
    <x v="0"/>
    <x v="0"/>
    <x v="8"/>
    <x v="1"/>
  </r>
  <r>
    <x v="17"/>
    <n v="2025"/>
    <x v="1"/>
    <n v="3971"/>
    <n v="1946"/>
    <x v="15"/>
    <x v="0"/>
    <x v="11"/>
    <x v="8"/>
    <x v="1"/>
  </r>
  <r>
    <x v="18"/>
    <n v="2999"/>
    <x v="1"/>
    <n v="3699"/>
    <n v="700"/>
    <x v="16"/>
    <x v="1"/>
    <x v="4"/>
    <x v="2"/>
    <x v="1"/>
  </r>
  <r>
    <x v="19"/>
    <n v="998"/>
    <x v="0"/>
    <n v="1966"/>
    <n v="968"/>
    <x v="15"/>
    <x v="0"/>
    <x v="12"/>
    <x v="2"/>
    <x v="1"/>
  </r>
  <r>
    <x v="20"/>
    <n v="38"/>
    <x v="2"/>
    <n v="80"/>
    <n v="42"/>
    <x v="17"/>
    <x v="0"/>
    <x v="13"/>
    <x v="9"/>
    <x v="0"/>
  </r>
  <r>
    <x v="21"/>
    <n v="1860"/>
    <x v="1"/>
    <n v="3220"/>
    <n v="1360"/>
    <x v="11"/>
    <x v="0"/>
    <x v="14"/>
    <x v="10"/>
    <x v="1"/>
  </r>
  <r>
    <x v="22"/>
    <n v="880"/>
    <x v="0"/>
    <n v="1350"/>
    <n v="470"/>
    <x v="18"/>
    <x v="0"/>
    <x v="9"/>
    <x v="5"/>
    <x v="0"/>
  </r>
  <r>
    <x v="23"/>
    <n v="1650"/>
    <x v="1"/>
    <n v="2150"/>
    <n v="500"/>
    <x v="19"/>
    <x v="0"/>
    <x v="1"/>
    <x v="11"/>
    <x v="0"/>
  </r>
  <r>
    <x v="24"/>
    <n v="2048"/>
    <x v="1"/>
    <n v="4500"/>
    <n v="2452"/>
    <x v="20"/>
    <x v="0"/>
    <x v="3"/>
    <x v="12"/>
    <x v="0"/>
  </r>
  <r>
    <x v="25"/>
    <n v="420"/>
    <x v="2"/>
    <n v="647"/>
    <n v="227"/>
    <x v="18"/>
    <x v="0"/>
    <x v="15"/>
    <x v="2"/>
    <x v="1"/>
  </r>
  <r>
    <x v="26"/>
    <n v="2880"/>
    <x v="1"/>
    <n v="3520"/>
    <n v="640"/>
    <x v="21"/>
    <x v="1"/>
    <x v="7"/>
    <x v="6"/>
    <x v="0"/>
  </r>
  <r>
    <x v="27"/>
    <n v="1350"/>
    <x v="0"/>
    <n v="1990"/>
    <n v="640"/>
    <x v="22"/>
    <x v="0"/>
    <x v="13"/>
    <x v="6"/>
    <x v="0"/>
  </r>
  <r>
    <x v="28"/>
    <n v="1758"/>
    <x v="1"/>
    <n v="2499"/>
    <n v="741"/>
    <x v="23"/>
    <x v="0"/>
    <x v="16"/>
    <x v="1"/>
    <x v="0"/>
  </r>
  <r>
    <x v="29"/>
    <n v="2200"/>
    <x v="1"/>
    <n v="4080"/>
    <n v="1880"/>
    <x v="14"/>
    <x v="0"/>
    <x v="14"/>
    <x v="10"/>
    <x v="1"/>
  </r>
  <r>
    <x v="30"/>
    <n v="185"/>
    <x v="2"/>
    <n v="382"/>
    <n v="197"/>
    <x v="24"/>
    <x v="0"/>
    <x v="10"/>
    <x v="12"/>
    <x v="0"/>
  </r>
  <r>
    <x v="31"/>
    <n v="980"/>
    <x v="0"/>
    <n v="1490"/>
    <n v="510"/>
    <x v="10"/>
    <x v="0"/>
    <x v="7"/>
    <x v="3"/>
    <x v="1"/>
  </r>
  <r>
    <x v="32"/>
    <n v="1820"/>
    <x v="1"/>
    <n v="3490"/>
    <n v="1670"/>
    <x v="25"/>
    <x v="0"/>
    <x v="10"/>
    <x v="12"/>
    <x v="0"/>
  </r>
  <r>
    <x v="33"/>
    <n v="1940"/>
    <x v="1"/>
    <n v="2650"/>
    <n v="710"/>
    <x v="26"/>
    <x v="0"/>
    <x v="16"/>
    <x v="3"/>
    <x v="1"/>
  </r>
  <r>
    <x v="34"/>
    <n v="1980"/>
    <x v="1"/>
    <n v="2699"/>
    <n v="719"/>
    <x v="26"/>
    <x v="0"/>
    <x v="17"/>
    <x v="0"/>
    <x v="0"/>
  </r>
  <r>
    <x v="35"/>
    <n v="1620"/>
    <x v="1"/>
    <n v="2690"/>
    <n v="1070"/>
    <x v="27"/>
    <x v="0"/>
    <x v="18"/>
    <x v="8"/>
    <x v="1"/>
  </r>
  <r>
    <x v="36"/>
    <n v="171"/>
    <x v="2"/>
    <n v="360"/>
    <n v="189"/>
    <x v="17"/>
    <x v="0"/>
    <x v="0"/>
    <x v="8"/>
    <x v="1"/>
  </r>
  <r>
    <x v="37"/>
    <n v="389"/>
    <x v="2"/>
    <n v="656"/>
    <n v="267"/>
    <x v="28"/>
    <x v="0"/>
    <x v="19"/>
    <x v="12"/>
    <x v="0"/>
  </r>
  <r>
    <x v="38"/>
    <n v="1800"/>
    <x v="1"/>
    <n v="2700"/>
    <n v="900"/>
    <x v="0"/>
    <x v="0"/>
    <x v="0"/>
    <x v="0"/>
    <x v="0"/>
  </r>
  <r>
    <x v="39"/>
    <n v="2750"/>
    <x v="1"/>
    <n v="4471"/>
    <n v="1721"/>
    <x v="0"/>
    <x v="0"/>
    <x v="14"/>
    <x v="10"/>
    <x v="1"/>
  </r>
  <r>
    <x v="40"/>
    <n v="475"/>
    <x v="2"/>
    <n v="931"/>
    <n v="456"/>
    <x v="15"/>
    <x v="0"/>
    <x v="14"/>
    <x v="10"/>
    <x v="1"/>
  </r>
  <r>
    <x v="41"/>
    <n v="238"/>
    <x v="2"/>
    <n v="476"/>
    <n v="238"/>
    <x v="29"/>
    <x v="0"/>
    <x v="14"/>
    <x v="10"/>
    <x v="1"/>
  </r>
  <r>
    <x v="42"/>
    <n v="610"/>
    <x v="0"/>
    <n v="1060"/>
    <n v="450"/>
    <x v="11"/>
    <x v="0"/>
    <x v="14"/>
    <x v="10"/>
    <x v="1"/>
  </r>
  <r>
    <x v="42"/>
    <n v="610"/>
    <x v="0"/>
    <n v="1060"/>
    <n v="450"/>
    <x v="11"/>
    <x v="0"/>
    <x v="14"/>
    <x v="10"/>
    <x v="1"/>
  </r>
  <r>
    <x v="43"/>
    <n v="2132"/>
    <x v="1"/>
    <n v="2169"/>
    <n v="37"/>
    <x v="30"/>
    <x v="1"/>
    <x v="14"/>
    <x v="10"/>
    <x v="1"/>
  </r>
  <r>
    <x v="44"/>
    <n v="999"/>
    <x v="0"/>
    <n v="2000"/>
    <n v="1001"/>
    <x v="29"/>
    <x v="0"/>
    <x v="14"/>
    <x v="10"/>
    <x v="1"/>
  </r>
  <r>
    <x v="45"/>
    <n v="1190"/>
    <x v="0"/>
    <n v="1785"/>
    <n v="595"/>
    <x v="12"/>
    <x v="0"/>
    <x v="14"/>
    <x v="10"/>
    <x v="1"/>
  </r>
  <r>
    <x v="46"/>
    <n v="671"/>
    <x v="0"/>
    <n v="1316"/>
    <n v="645"/>
    <x v="15"/>
    <x v="0"/>
    <x v="14"/>
    <x v="10"/>
    <x v="1"/>
  </r>
  <r>
    <x v="47"/>
    <n v="1200"/>
    <x v="0"/>
    <n v="1950"/>
    <n v="750"/>
    <x v="0"/>
    <x v="0"/>
    <x v="14"/>
    <x v="10"/>
    <x v="1"/>
  </r>
  <r>
    <x v="48"/>
    <n v="199"/>
    <x v="2"/>
    <n v="504"/>
    <n v="305"/>
    <x v="31"/>
    <x v="0"/>
    <x v="14"/>
    <x v="10"/>
    <x v="1"/>
  </r>
  <r>
    <x v="49"/>
    <n v="299"/>
    <x v="2"/>
    <n v="600"/>
    <n v="301"/>
    <x v="29"/>
    <x v="0"/>
    <x v="14"/>
    <x v="10"/>
    <x v="1"/>
  </r>
  <r>
    <x v="50"/>
    <n v="1660"/>
    <x v="1"/>
    <n v="1699"/>
    <n v="39"/>
    <x v="30"/>
    <x v="1"/>
    <x v="14"/>
    <x v="10"/>
    <x v="1"/>
  </r>
  <r>
    <x v="51"/>
    <n v="299"/>
    <x v="2"/>
    <n v="384"/>
    <n v="85"/>
    <x v="32"/>
    <x v="0"/>
    <x v="14"/>
    <x v="10"/>
    <x v="1"/>
  </r>
  <r>
    <x v="52"/>
    <n v="1459"/>
    <x v="0"/>
    <n v="1499"/>
    <n v="40"/>
    <x v="33"/>
    <x v="1"/>
    <x v="14"/>
    <x v="10"/>
    <x v="1"/>
  </r>
  <r>
    <x v="53"/>
    <n v="799"/>
    <x v="0"/>
    <n v="1343"/>
    <n v="544"/>
    <x v="28"/>
    <x v="0"/>
    <x v="14"/>
    <x v="10"/>
    <x v="1"/>
  </r>
  <r>
    <x v="54"/>
    <n v="499"/>
    <x v="2"/>
    <n v="900"/>
    <n v="401"/>
    <x v="8"/>
    <x v="0"/>
    <x v="14"/>
    <x v="10"/>
    <x v="1"/>
  </r>
  <r>
    <x v="55"/>
    <n v="699"/>
    <x v="0"/>
    <n v="1343"/>
    <n v="644"/>
    <x v="25"/>
    <x v="0"/>
    <x v="14"/>
    <x v="10"/>
    <x v="1"/>
  </r>
  <r>
    <x v="56"/>
    <n v="799"/>
    <x v="0"/>
    <n v="1567"/>
    <n v="768"/>
    <x v="15"/>
    <x v="0"/>
    <x v="14"/>
    <x v="10"/>
    <x v="1"/>
  </r>
  <r>
    <x v="57"/>
    <n v="2799"/>
    <x v="1"/>
    <n v="3810"/>
    <n v="1011"/>
    <x v="26"/>
    <x v="0"/>
    <x v="14"/>
    <x v="10"/>
    <x v="1"/>
  </r>
  <r>
    <x v="54"/>
    <n v="399"/>
    <x v="2"/>
    <n v="896"/>
    <n v="497"/>
    <x v="7"/>
    <x v="0"/>
    <x v="14"/>
    <x v="10"/>
    <x v="1"/>
  </r>
  <r>
    <x v="58"/>
    <n v="2170"/>
    <x v="1"/>
    <n v="2500"/>
    <n v="330"/>
    <x v="34"/>
    <x v="1"/>
    <x v="9"/>
    <x v="13"/>
    <x v="2"/>
  </r>
  <r>
    <x v="59"/>
    <n v="458"/>
    <x v="2"/>
    <n v="986"/>
    <n v="528"/>
    <x v="20"/>
    <x v="0"/>
    <x v="20"/>
    <x v="14"/>
    <x v="0"/>
  </r>
  <r>
    <x v="60"/>
    <n v="2115"/>
    <x v="1"/>
    <n v="4700"/>
    <n v="2585"/>
    <x v="7"/>
    <x v="0"/>
    <x v="13"/>
    <x v="15"/>
    <x v="2"/>
  </r>
  <r>
    <x v="61"/>
    <n v="445"/>
    <x v="2"/>
    <n v="873"/>
    <n v="428"/>
    <x v="15"/>
    <x v="0"/>
    <x v="21"/>
    <x v="16"/>
    <x v="2"/>
  </r>
  <r>
    <x v="62"/>
    <n v="325"/>
    <x v="2"/>
    <n v="680"/>
    <n v="355"/>
    <x v="24"/>
    <x v="0"/>
    <x v="5"/>
    <x v="17"/>
    <x v="2"/>
  </r>
  <r>
    <x v="63"/>
    <n v="1220"/>
    <x v="0"/>
    <n v="1555"/>
    <n v="335"/>
    <x v="32"/>
    <x v="0"/>
    <x v="22"/>
    <x v="18"/>
    <x v="2"/>
  </r>
  <r>
    <x v="64"/>
    <n v="990"/>
    <x v="0"/>
    <n v="1814"/>
    <n v="824"/>
    <x v="8"/>
    <x v="0"/>
    <x v="9"/>
    <x v="19"/>
    <x v="2"/>
  </r>
  <r>
    <x v="65"/>
    <n v="1000"/>
    <x v="0"/>
    <n v="2000"/>
    <n v="1000"/>
    <x v="29"/>
    <x v="0"/>
    <x v="3"/>
    <x v="20"/>
    <x v="2"/>
  </r>
  <r>
    <x v="66"/>
    <n v="3750"/>
    <x v="1"/>
    <n v="6143"/>
    <n v="2393"/>
    <x v="35"/>
    <x v="0"/>
    <x v="4"/>
    <x v="14"/>
    <x v="0"/>
  </r>
  <r>
    <x v="67"/>
    <n v="382"/>
    <x v="2"/>
    <n v="700"/>
    <n v="318"/>
    <x v="8"/>
    <x v="0"/>
    <x v="23"/>
    <x v="21"/>
    <x v="2"/>
  </r>
  <r>
    <x v="68"/>
    <n v="2300"/>
    <x v="1"/>
    <n v="3240"/>
    <n v="940"/>
    <x v="36"/>
    <x v="0"/>
    <x v="4"/>
    <x v="14"/>
    <x v="0"/>
  </r>
  <r>
    <x v="69"/>
    <n v="345"/>
    <x v="2"/>
    <n v="602"/>
    <n v="257"/>
    <x v="37"/>
    <x v="0"/>
    <x v="9"/>
    <x v="20"/>
    <x v="2"/>
  </r>
  <r>
    <x v="70"/>
    <n v="509"/>
    <x v="0"/>
    <n v="899"/>
    <n v="390"/>
    <x v="37"/>
    <x v="0"/>
    <x v="4"/>
    <x v="14"/>
    <x v="0"/>
  </r>
  <r>
    <x v="71"/>
    <n v="968"/>
    <x v="0"/>
    <n v="1814"/>
    <n v="846"/>
    <x v="1"/>
    <x v="0"/>
    <x v="9"/>
    <x v="19"/>
    <x v="2"/>
  </r>
  <r>
    <x v="72"/>
    <n v="1570"/>
    <x v="1"/>
    <n v="2988"/>
    <n v="1418"/>
    <x v="1"/>
    <x v="0"/>
    <x v="3"/>
    <x v="15"/>
    <x v="2"/>
  </r>
  <r>
    <x v="73"/>
    <n v="790"/>
    <x v="0"/>
    <n v="1485"/>
    <n v="695"/>
    <x v="1"/>
    <x v="0"/>
    <x v="14"/>
    <x v="10"/>
    <x v="1"/>
  </r>
  <r>
    <x v="74"/>
    <n v="690"/>
    <x v="0"/>
    <n v="1200"/>
    <n v="510"/>
    <x v="37"/>
    <x v="0"/>
    <x v="14"/>
    <x v="10"/>
    <x v="1"/>
  </r>
  <r>
    <x v="75"/>
    <n v="1732"/>
    <x v="1"/>
    <n v="1799"/>
    <n v="67"/>
    <x v="38"/>
    <x v="1"/>
    <x v="14"/>
    <x v="10"/>
    <x v="1"/>
  </r>
  <r>
    <x v="76"/>
    <n v="230"/>
    <x v="2"/>
    <n v="450"/>
    <n v="220"/>
    <x v="15"/>
    <x v="0"/>
    <x v="14"/>
    <x v="10"/>
    <x v="1"/>
  </r>
  <r>
    <x v="77"/>
    <n v="1189"/>
    <x v="0"/>
    <n v="2199"/>
    <n v="1010"/>
    <x v="14"/>
    <x v="0"/>
    <x v="18"/>
    <x v="14"/>
    <x v="0"/>
  </r>
  <r>
    <x v="78"/>
    <n v="979"/>
    <x v="0"/>
    <n v="1920"/>
    <n v="941"/>
    <x v="15"/>
    <x v="0"/>
    <x v="18"/>
    <x v="8"/>
    <x v="1"/>
  </r>
  <r>
    <x v="79"/>
    <n v="1460"/>
    <x v="0"/>
    <n v="2290"/>
    <n v="830"/>
    <x v="39"/>
    <x v="0"/>
    <x v="14"/>
    <x v="10"/>
    <x v="1"/>
  </r>
  <r>
    <x v="80"/>
    <n v="1666"/>
    <x v="1"/>
    <n v="1699"/>
    <n v="33"/>
    <x v="30"/>
    <x v="1"/>
    <x v="14"/>
    <x v="10"/>
    <x v="1"/>
  </r>
  <r>
    <x v="81"/>
    <n v="330"/>
    <x v="2"/>
    <n v="647"/>
    <n v="317"/>
    <x v="15"/>
    <x v="0"/>
    <x v="18"/>
    <x v="5"/>
    <x v="0"/>
  </r>
  <r>
    <x v="42"/>
    <n v="610"/>
    <x v="0"/>
    <n v="1060"/>
    <n v="450"/>
    <x v="11"/>
    <x v="0"/>
    <x v="14"/>
    <x v="10"/>
    <x v="1"/>
  </r>
  <r>
    <x v="48"/>
    <n v="176"/>
    <x v="2"/>
    <n v="345"/>
    <n v="169"/>
    <x v="15"/>
    <x v="0"/>
    <x v="14"/>
    <x v="10"/>
    <x v="1"/>
  </r>
  <r>
    <x v="82"/>
    <n v="1466"/>
    <x v="0"/>
    <n v="1699"/>
    <n v="233"/>
    <x v="40"/>
    <x v="1"/>
    <x v="14"/>
    <x v="10"/>
    <x v="1"/>
  </r>
  <r>
    <x v="83"/>
    <n v="274"/>
    <x v="2"/>
    <n v="537"/>
    <n v="263"/>
    <x v="15"/>
    <x v="0"/>
    <x v="14"/>
    <x v="10"/>
    <x v="1"/>
  </r>
  <r>
    <x v="84"/>
    <n v="799"/>
    <x v="0"/>
    <n v="900"/>
    <n v="101"/>
    <x v="41"/>
    <x v="1"/>
    <x v="14"/>
    <x v="10"/>
    <x v="1"/>
  </r>
  <r>
    <x v="56"/>
    <n v="657"/>
    <x v="0"/>
    <n v="1288"/>
    <n v="631"/>
    <x v="15"/>
    <x v="0"/>
    <x v="14"/>
    <x v="10"/>
    <x v="1"/>
  </r>
  <r>
    <x v="85"/>
    <n v="1468"/>
    <x v="0"/>
    <n v="1699"/>
    <n v="231"/>
    <x v="40"/>
    <x v="1"/>
    <x v="14"/>
    <x v="10"/>
    <x v="1"/>
  </r>
  <r>
    <x v="86"/>
    <n v="630"/>
    <x v="0"/>
    <n v="1100"/>
    <n v="470"/>
    <x v="37"/>
    <x v="0"/>
    <x v="14"/>
    <x v="10"/>
    <x v="1"/>
  </r>
  <r>
    <x v="87"/>
    <n v="850"/>
    <x v="0"/>
    <n v="1700"/>
    <n v="850"/>
    <x v="29"/>
    <x v="0"/>
    <x v="14"/>
    <x v="10"/>
    <x v="1"/>
  </r>
  <r>
    <x v="88"/>
    <n v="1300"/>
    <x v="0"/>
    <n v="2500"/>
    <n v="1200"/>
    <x v="25"/>
    <x v="0"/>
    <x v="14"/>
    <x v="10"/>
    <x v="1"/>
  </r>
  <r>
    <x v="89"/>
    <n v="105"/>
    <x v="2"/>
    <n v="200"/>
    <n v="95"/>
    <x v="25"/>
    <x v="0"/>
    <x v="14"/>
    <x v="10"/>
    <x v="1"/>
  </r>
  <r>
    <x v="90"/>
    <n v="899"/>
    <x v="0"/>
    <n v="1699"/>
    <n v="800"/>
    <x v="1"/>
    <x v="0"/>
    <x v="14"/>
    <x v="10"/>
    <x v="1"/>
  </r>
  <r>
    <x v="90"/>
    <n v="899"/>
    <x v="0"/>
    <n v="1699"/>
    <n v="800"/>
    <x v="1"/>
    <x v="0"/>
    <x v="14"/>
    <x v="10"/>
    <x v="1"/>
  </r>
  <r>
    <x v="91"/>
    <n v="1200"/>
    <x v="0"/>
    <n v="2400"/>
    <n v="1200"/>
    <x v="29"/>
    <x v="0"/>
    <x v="14"/>
    <x v="10"/>
    <x v="1"/>
  </r>
  <r>
    <x v="92"/>
    <n v="1526"/>
    <x v="1"/>
    <n v="1660"/>
    <n v="134"/>
    <x v="42"/>
    <x v="1"/>
    <x v="14"/>
    <x v="10"/>
    <x v="1"/>
  </r>
  <r>
    <x v="93"/>
    <n v="1462"/>
    <x v="0"/>
    <n v="1499"/>
    <n v="37"/>
    <x v="30"/>
    <x v="1"/>
    <x v="14"/>
    <x v="10"/>
    <x v="1"/>
  </r>
  <r>
    <x v="94"/>
    <n v="248"/>
    <x v="2"/>
    <n v="486"/>
    <n v="238"/>
    <x v="15"/>
    <x v="0"/>
    <x v="14"/>
    <x v="10"/>
    <x v="1"/>
  </r>
  <r>
    <x v="95"/>
    <n v="3546"/>
    <x v="1"/>
    <n v="3699"/>
    <n v="153"/>
    <x v="38"/>
    <x v="1"/>
    <x v="14"/>
    <x v="10"/>
    <x v="1"/>
  </r>
  <r>
    <x v="96"/>
    <n v="525"/>
    <x v="0"/>
    <n v="1029"/>
    <n v="504"/>
    <x v="15"/>
    <x v="0"/>
    <x v="14"/>
    <x v="10"/>
    <x v="1"/>
  </r>
  <r>
    <x v="97"/>
    <n v="1080"/>
    <x v="0"/>
    <n v="1874"/>
    <n v="794"/>
    <x v="11"/>
    <x v="0"/>
    <x v="14"/>
    <x v="10"/>
    <x v="1"/>
  </r>
  <r>
    <x v="98"/>
    <n v="3640"/>
    <x v="1"/>
    <n v="4588"/>
    <n v="948"/>
    <x v="43"/>
    <x v="0"/>
    <x v="18"/>
    <x v="8"/>
    <x v="1"/>
  </r>
  <r>
    <x v="99"/>
    <n v="1420"/>
    <x v="0"/>
    <n v="2420"/>
    <n v="1000"/>
    <x v="28"/>
    <x v="0"/>
    <x v="14"/>
    <x v="10"/>
    <x v="1"/>
  </r>
  <r>
    <x v="100"/>
    <n v="1875"/>
    <x v="1"/>
    <n v="1899"/>
    <n v="24"/>
    <x v="44"/>
    <x v="1"/>
    <x v="14"/>
    <x v="10"/>
    <x v="1"/>
  </r>
  <r>
    <x v="101"/>
    <n v="198"/>
    <x v="2"/>
    <n v="260"/>
    <n v="62"/>
    <x v="6"/>
    <x v="0"/>
    <x v="14"/>
    <x v="10"/>
    <x v="1"/>
  </r>
  <r>
    <x v="102"/>
    <n v="1150"/>
    <x v="0"/>
    <n v="1737"/>
    <n v="587"/>
    <x v="10"/>
    <x v="0"/>
    <x v="14"/>
    <x v="10"/>
    <x v="1"/>
  </r>
  <r>
    <x v="103"/>
    <n v="1190"/>
    <x v="0"/>
    <n v="1810"/>
    <n v="620"/>
    <x v="10"/>
    <x v="0"/>
    <x v="14"/>
    <x v="10"/>
    <x v="1"/>
  </r>
  <r>
    <x v="104"/>
    <n v="1658"/>
    <x v="1"/>
    <n v="1699"/>
    <n v="41"/>
    <x v="30"/>
    <x v="1"/>
    <x v="14"/>
    <x v="10"/>
    <x v="1"/>
  </r>
  <r>
    <x v="105"/>
    <n v="1768"/>
    <x v="1"/>
    <n v="1799"/>
    <n v="31"/>
    <x v="30"/>
    <x v="1"/>
    <x v="14"/>
    <x v="10"/>
    <x v="1"/>
  </r>
  <r>
    <x v="106"/>
    <n v="199"/>
    <x v="2"/>
    <n v="553"/>
    <n v="354"/>
    <x v="45"/>
    <x v="0"/>
    <x v="14"/>
    <x v="10"/>
    <x v="1"/>
  </r>
  <r>
    <x v="107"/>
    <n v="450"/>
    <x v="2"/>
    <n v="900"/>
    <n v="450"/>
    <x v="29"/>
    <x v="0"/>
    <x v="18"/>
    <x v="22"/>
    <x v="2"/>
  </r>
  <r>
    <x v="108"/>
    <n v="169"/>
    <x v="2"/>
    <n v="320"/>
    <n v="151"/>
    <x v="1"/>
    <x v="0"/>
    <x v="14"/>
    <x v="10"/>
    <x v="1"/>
  </r>
  <r>
    <x v="109"/>
    <m/>
    <x v="2"/>
    <m/>
    <n v="0"/>
    <x v="1"/>
    <x v="0"/>
    <x v="24"/>
    <x v="23"/>
    <x v="2"/>
  </r>
  <r>
    <x v="109"/>
    <m/>
    <x v="2"/>
    <m/>
    <n v="0"/>
    <x v="1"/>
    <x v="0"/>
    <x v="24"/>
    <x v="2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EF16D1-1189-4655-AE35-56E96864505A}" name="PivotTable55"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0">
    <pivotField showAll="0"/>
    <pivotField dataField="1" showAll="0"/>
    <pivotField showAll="0"/>
    <pivotField showAll="0"/>
    <pivotField numFmtId="168" showAll="0"/>
    <pivotField numFmtId="9" showAll="0"/>
    <pivotField showAll="0"/>
    <pivotField showAll="0"/>
    <pivotField axis="axisRow" showAll="0" measureFilter="1">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s>
  <rowFields count="1">
    <field x="8"/>
  </rowFields>
  <rowItems count="11">
    <i>
      <x v="1"/>
    </i>
    <i>
      <x v="9"/>
    </i>
    <i>
      <x v="11"/>
    </i>
    <i>
      <x v="12"/>
    </i>
    <i>
      <x v="15"/>
    </i>
    <i>
      <x v="17"/>
    </i>
    <i>
      <x v="18"/>
    </i>
    <i>
      <x v="19"/>
    </i>
    <i>
      <x v="21"/>
    </i>
    <i>
      <x v="22"/>
    </i>
    <i t="grand">
      <x/>
    </i>
  </rowItems>
  <colItems count="1">
    <i/>
  </colItems>
  <dataFields count="1">
    <dataField name="Sum of Current Pric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BCF39-7CA1-4162-89D5-8114C35E06D8}" name="PivotTable27"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0">
    <pivotField showAll="0"/>
    <pivotField showAll="0"/>
    <pivotField showAll="0"/>
    <pivotField showAll="0"/>
    <pivotField numFmtId="168" showAll="0"/>
    <pivotField showAll="0"/>
    <pivotField showAll="0"/>
    <pivotField dataField="1" showAll="0"/>
    <pivotField axis="axisRow" showAll="0" measureFilter="1">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s>
  <rowFields count="1">
    <field x="8"/>
  </rowFields>
  <rowItems count="11">
    <i>
      <x v="5"/>
    </i>
    <i>
      <x v="6"/>
    </i>
    <i>
      <x v="7"/>
    </i>
    <i>
      <x v="8"/>
    </i>
    <i>
      <x v="10"/>
    </i>
    <i>
      <x v="13"/>
    </i>
    <i>
      <x v="15"/>
    </i>
    <i>
      <x v="16"/>
    </i>
    <i>
      <x v="18"/>
    </i>
    <i>
      <x v="19"/>
    </i>
    <i t="grand">
      <x/>
    </i>
  </rowItems>
  <colItems count="1">
    <i/>
  </colItems>
  <dataFields count="1">
    <dataField name="Average of Reviews" fld="7" subtotal="average" baseField="5" baseItem="18"/>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C83E0F-B9B7-4F1F-B6A1-FA6DAE789817}" name="PivotTable28"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10">
    <pivotField showAll="0"/>
    <pivotField showAll="0"/>
    <pivotField showAll="0"/>
    <pivotField showAll="0"/>
    <pivotField numFmtId="168" showAll="0"/>
    <pivotField axis="axisRow" showAll="0" measureFilter="1">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dataField="1" showAll="0"/>
    <pivotField showAll="0"/>
    <pivotField showAll="0"/>
  </pivotFields>
  <rowFields count="1">
    <field x="5"/>
  </rowFields>
  <rowItems count="14">
    <i>
      <x v="5"/>
    </i>
    <i>
      <x v="9"/>
    </i>
    <i>
      <x v="11"/>
    </i>
    <i>
      <x v="14"/>
    </i>
    <i>
      <x v="15"/>
    </i>
    <i>
      <x v="16"/>
    </i>
    <i>
      <x v="18"/>
    </i>
    <i>
      <x v="20"/>
    </i>
    <i>
      <x v="21"/>
    </i>
    <i>
      <x v="23"/>
    </i>
    <i>
      <x v="24"/>
    </i>
    <i>
      <x v="30"/>
    </i>
    <i>
      <x v="40"/>
    </i>
    <i t="grand">
      <x/>
    </i>
  </rowItems>
  <colItems count="1">
    <i/>
  </colItems>
  <dataFields count="1">
    <dataField name="Average of Reviews" fld="7" subtotal="average"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630D3-2A8B-44DA-B186-544B9890A0D0}" name="PivotTable30"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0">
    <pivotField showAll="0"/>
    <pivotField showAll="0"/>
    <pivotField showAll="0"/>
    <pivotField showAll="0"/>
    <pivotField numFmtId="168" showAll="0"/>
    <pivotField showAll="0"/>
    <pivotField showAll="0"/>
    <pivotField dataField="1" showAll="0"/>
    <pivotField axis="axisRow" showAll="0" measureFilter="1" avgSubtotal="1">
      <items count="25">
        <item x="22"/>
        <item x="15"/>
        <item x="19"/>
        <item x="20"/>
        <item x="13"/>
        <item x="21"/>
        <item x="17"/>
        <item x="16"/>
        <item x="18"/>
        <item x="14"/>
        <item x="9"/>
        <item x="6"/>
        <item x="5"/>
        <item x="1"/>
        <item x="7"/>
        <item x="12"/>
        <item x="11"/>
        <item x="0"/>
        <item x="2"/>
        <item x="3"/>
        <item x="4"/>
        <item x="8"/>
        <item x="10"/>
        <item x="23"/>
        <item t="avg"/>
      </items>
    </pivotField>
    <pivotField showAll="0"/>
  </pivotFields>
  <rowFields count="1">
    <field x="8"/>
  </rowFields>
  <rowItems count="11">
    <i>
      <x v="5"/>
    </i>
    <i>
      <x v="6"/>
    </i>
    <i>
      <x v="7"/>
    </i>
    <i>
      <x v="8"/>
    </i>
    <i>
      <x v="10"/>
    </i>
    <i>
      <x v="13"/>
    </i>
    <i>
      <x v="15"/>
    </i>
    <i>
      <x v="16"/>
    </i>
    <i>
      <x v="18"/>
    </i>
    <i>
      <x v="19"/>
    </i>
    <i t="grand">
      <x/>
    </i>
  </rowItems>
  <colItems count="1">
    <i/>
  </colItems>
  <dataFields count="1">
    <dataField name="Average of Reviews" fld="7" subtotal="average" baseField="8" baseItem="7"/>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9EA2CE-900A-4141-87E5-2187EA4AC622}" name="PivotTable31"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8" firstHeaderRow="1" firstDataRow="1" firstDataCol="1"/>
  <pivotFields count="10">
    <pivotField dataField="1" showAll="0"/>
    <pivotField showAll="0"/>
    <pivotField showAll="0"/>
    <pivotField showAll="0"/>
    <pivotField numFmtId="168" showAll="0"/>
    <pivotField showAll="0"/>
    <pivotField showAll="0"/>
    <pivotField showAll="0"/>
    <pivotField axis="axisRow"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roduct" fld="0" subtotal="count" baseField="5"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767F21-A5B2-415E-80D1-432F928CBD57}" name="PivotTable32"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0">
    <pivotField dataField="1" showAll="0"/>
    <pivotField showAll="0"/>
    <pivotField showAll="0"/>
    <pivotField showAll="0"/>
    <pivotField numFmtId="168" showAll="0"/>
    <pivotField axis="axisRow" showAll="0" measureFilter="1">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showAll="0"/>
    <pivotField showAll="0"/>
    <pivotField showAll="0"/>
  </pivotFields>
  <rowFields count="1">
    <field x="5"/>
  </rowFields>
  <rowItems count="11">
    <i>
      <x v="1"/>
    </i>
    <i>
      <x v="23"/>
    </i>
    <i>
      <x v="27"/>
    </i>
    <i>
      <x v="31"/>
    </i>
    <i>
      <x v="32"/>
    </i>
    <i>
      <x v="33"/>
    </i>
    <i>
      <x v="35"/>
    </i>
    <i>
      <x v="36"/>
    </i>
    <i>
      <x v="37"/>
    </i>
    <i>
      <x v="38"/>
    </i>
    <i t="grand">
      <x/>
    </i>
  </rowItems>
  <colItems count="1">
    <i/>
  </colItems>
  <dataFields count="1">
    <dataField name="Count of Product" fld="0" subtotal="count"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A57DC1-EB72-473F-82B0-57D258063AA8}" name="PivotTable38"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10">
    <pivotField dataField="1" showAll="0"/>
    <pivotField showAll="0"/>
    <pivotField showAll="0"/>
    <pivotField showAll="0"/>
    <pivotField numFmtId="168" showAll="0"/>
    <pivotField showAll="0"/>
    <pivotField showAll="0"/>
    <pivotField showAll="0"/>
    <pivotField axis="axisRow" showAll="0" measureFilter="1">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s>
  <rowFields count="1">
    <field x="8"/>
  </rowFields>
  <rowItems count="12">
    <i>
      <x v="9"/>
    </i>
    <i>
      <x v="11"/>
    </i>
    <i>
      <x v="12"/>
    </i>
    <i>
      <x v="13"/>
    </i>
    <i>
      <x v="15"/>
    </i>
    <i>
      <x v="17"/>
    </i>
    <i>
      <x v="18"/>
    </i>
    <i>
      <x v="19"/>
    </i>
    <i>
      <x v="20"/>
    </i>
    <i>
      <x v="21"/>
    </i>
    <i>
      <x v="2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CF7389-FB1D-46C7-B844-A5C3717E8F94}" name="PivotTable43"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0">
    <pivotField dataField="1" showAll="0"/>
    <pivotField showAll="0"/>
    <pivotField showAll="0"/>
    <pivotField showAll="0"/>
    <pivotField numFmtId="168" showAll="0"/>
    <pivotField axis="axisRow" showAll="0" measureFilter="1">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showAll="0"/>
    <pivotField showAll="0"/>
    <pivotField showAll="0"/>
  </pivotFields>
  <rowFields count="1">
    <field x="5"/>
  </rowFields>
  <rowItems count="11">
    <i>
      <x v="1"/>
    </i>
    <i>
      <x v="23"/>
    </i>
    <i>
      <x v="27"/>
    </i>
    <i>
      <x v="31"/>
    </i>
    <i>
      <x v="32"/>
    </i>
    <i>
      <x v="33"/>
    </i>
    <i>
      <x v="35"/>
    </i>
    <i>
      <x v="36"/>
    </i>
    <i>
      <x v="37"/>
    </i>
    <i>
      <x v="38"/>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6AAE0B-C84A-406A-8DFD-FAD851A32B17}" name="PivotTable49"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0">
    <pivotField showAll="0"/>
    <pivotField showAll="0"/>
    <pivotField showAll="0"/>
    <pivotField showAll="0"/>
    <pivotField numFmtId="168" showAll="0"/>
    <pivotField showAll="0"/>
    <pivotField showAll="0"/>
    <pivotField dataField="1" showAll="0"/>
    <pivotField showAll="0"/>
    <pivotField axis="axisRow" showAll="0">
      <items count="4">
        <item x="0"/>
        <item x="1"/>
        <item x="2"/>
        <item t="default"/>
      </items>
    </pivotField>
  </pivotFields>
  <rowFields count="1">
    <field x="9"/>
  </rowFields>
  <rowItems count="4">
    <i>
      <x/>
    </i>
    <i>
      <x v="1"/>
    </i>
    <i>
      <x v="2"/>
    </i>
    <i t="grand">
      <x/>
    </i>
  </rowItems>
  <colItems count="1">
    <i/>
  </colItems>
  <dataFields count="1">
    <dataField name="Average of Reviews" fld="7" subtotal="average" baseField="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4B1CAE-85A6-4DCB-AD56-CD7E8DBDE72C}" name="PivotTable53"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0">
    <pivotField showAll="0"/>
    <pivotField showAll="0"/>
    <pivotField showAll="0"/>
    <pivotField dataField="1" showAll="0"/>
    <pivotField numFmtId="168" showAll="0"/>
    <pivotField numFmtId="9" showAll="0"/>
    <pivotField showAll="0"/>
    <pivotField axis="axisRow" showAll="0" measureFilter="1">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pivotField showAll="0"/>
  </pivotFields>
  <rowFields count="1">
    <field x="7"/>
  </rowFields>
  <rowItems count="11">
    <i>
      <x v="1"/>
    </i>
    <i>
      <x v="3"/>
    </i>
    <i>
      <x v="4"/>
    </i>
    <i>
      <x v="6"/>
    </i>
    <i>
      <x v="7"/>
    </i>
    <i>
      <x v="10"/>
    </i>
    <i>
      <x v="15"/>
    </i>
    <i>
      <x v="16"/>
    </i>
    <i>
      <x v="17"/>
    </i>
    <i>
      <x v="22"/>
    </i>
    <i t="grand">
      <x/>
    </i>
  </rowItems>
  <colItems count="1">
    <i/>
  </colItems>
  <dataFields count="1">
    <dataField name="Average of Old Price." fld="3" subtotal="average" baseField="7"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3D12A2-65F6-4D70-A4A4-E5A6ECA25188}" name="PivotTable50"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0">
    <pivotField showAll="0"/>
    <pivotField showAll="0"/>
    <pivotField axis="axisRow" showAll="0">
      <items count="4">
        <item x="1"/>
        <item x="2"/>
        <item x="0"/>
        <item t="default"/>
      </items>
    </pivotField>
    <pivotField showAll="0"/>
    <pivotField numFmtId="168" showAll="0"/>
    <pivotField numFmtId="9" showAll="0"/>
    <pivotField showAll="0"/>
    <pivotField showAll="0"/>
    <pivotField dataField="1" showAll="0"/>
    <pivotField showAll="0"/>
  </pivotFields>
  <rowFields count="1">
    <field x="2"/>
  </rowFields>
  <rowItems count="4">
    <i>
      <x/>
    </i>
    <i>
      <x v="1"/>
    </i>
    <i>
      <x v="2"/>
    </i>
    <i t="grand">
      <x/>
    </i>
  </rowItems>
  <colItems count="1">
    <i/>
  </colItems>
  <dataFields count="1">
    <dataField name="Average of Ratings" fld="8" subtotal="average" baseField="2"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17CF4F-A39E-4850-857E-9F4E7C675603}" name="PivotTable54"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0">
    <pivotField showAll="0"/>
    <pivotField showAll="0"/>
    <pivotField dataField="1" showAll="0">
      <items count="4">
        <item x="1"/>
        <item x="2"/>
        <item x="0"/>
        <item t="default"/>
      </items>
    </pivotField>
    <pivotField showAll="0"/>
    <pivotField numFmtId="168" showAll="0"/>
    <pivotField numFmtId="9" showAll="0"/>
    <pivotField axis="axisRow" showAll="0">
      <items count="3">
        <item x="1"/>
        <item x="0"/>
        <item t="default"/>
      </items>
    </pivotField>
    <pivotField showAll="0"/>
    <pivotField showAll="0"/>
    <pivotField showAll="0">
      <items count="4">
        <item x="0"/>
        <item x="1"/>
        <item x="2"/>
        <item t="default"/>
      </items>
    </pivotField>
  </pivotFields>
  <rowFields count="1">
    <field x="6"/>
  </rowFields>
  <rowItems count="3">
    <i>
      <x/>
    </i>
    <i>
      <x v="1"/>
    </i>
    <i t="grand">
      <x/>
    </i>
  </rowItems>
  <colItems count="1">
    <i/>
  </colItems>
  <dataFields count="1">
    <dataField name="Count of Price Category." fld="2" subtotal="count" baseField="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C367AE-2CA5-4F6C-946C-8DB576E8C530}"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0CD0EFCA-D5C8-4BE2-B254-F156961178A8}" sourceName="Price Category.">
  <pivotTables>
    <pivotTable tabId="40" name="PivotTable54"/>
  </pivotTables>
  <data>
    <tabular pivotCacheId="18612345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65AFCBD-CB28-4E01-8F9C-73A25318A765}" sourceName="Discount Category.">
  <pivotTables>
    <pivotTable tabId="40" name="PivotTable54"/>
  </pivotTables>
  <data>
    <tabular pivotCacheId="18612345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66E46A49-CC3D-4597-92B5-6D5204921320}" sourceName="Rating Category.">
  <pivotTables>
    <pivotTable tabId="40" name="PivotTable54"/>
  </pivotTables>
  <data>
    <tabular pivotCacheId="1861234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B46934B6-3C5F-4A97-9B5E-99D2123F4FD9}" cache="Slicer_Price_Category." caption="Price Category." rowHeight="241300"/>
  <slicer name="Discount Category. 1" xr10:uid="{8D8B7F19-9B6A-4621-B314-023127268341}" cache="Slicer_Discount_Category." caption="Discount Category." rowHeight="241300"/>
  <slicer name="Rating Category. 1" xr10:uid="{B3C2CE9C-7116-4EAF-8CA6-B62C4E6465F5}"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1FF00C81-A4CB-46ED-A256-7BA324EC704B}" cache="Slicer_Price_Category." caption="Price Category." rowHeight="241300"/>
  <slicer name="Discount Category." xr10:uid="{2B8311A0-8F12-45BF-A32A-3E3BDD93CF9E}" cache="Slicer_Discount_Category." caption="Discount Category." rowHeight="241300"/>
  <slicer name="Rating Category." xr10:uid="{21E88ADA-722A-4979-915A-E27592612615}" cache="Slicer_Rating_Category." caption="Rating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B1E77A-554B-4031-AF02-3A9D6886F1DE}" name="Excel_jumia_dataset" displayName="Excel_jumia_dataset" ref="A1:F116" tableType="queryTable" totalsRowShown="0">
  <autoFilter ref="A1:F116" xr:uid="{ADB1E77A-554B-4031-AF02-3A9D6886F1DE}"/>
  <tableColumns count="6">
    <tableColumn id="1" xr3:uid="{1513DA8E-8A64-43F2-9F1D-85D6E3B3607F}" uniqueName="1" name="Product" queryTableFieldId="1" dataDxfId="11"/>
    <tableColumn id="2" xr3:uid="{24E78878-B483-4421-884F-BA38F2B8F6B8}" uniqueName="2" name="Current price" queryTableFieldId="2" dataDxfId="10"/>
    <tableColumn id="3" xr3:uid="{CD976D2E-AFB1-49CD-AF3B-B6960EE9FF56}" uniqueName="3" name="old price" queryTableFieldId="3" dataDxfId="9"/>
    <tableColumn id="4" xr3:uid="{31A9A074-D9D3-4BEB-8905-AABDAA8D557D}" uniqueName="4" name="Discount" queryTableFieldId="4"/>
    <tableColumn id="5" xr3:uid="{49D84E71-0849-46CA-81F2-945A2D9763C5}" uniqueName="5" name="Review" queryTableFieldId="5"/>
    <tableColumn id="6" xr3:uid="{6CF9BF36-4FB1-4F87-8FFE-A18CCA5B85B6}" uniqueName="6" name="Ratingd" queryTableFieldId="6"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25D0F89-E067-4E2B-A975-DECF3AEB3705}" name="TableProducts" displayName="TableProducts" ref="A1:J118" totalsRowShown="0" headerRowDxfId="7">
  <autoFilter ref="A1:J118" xr:uid="{F25D0F89-E067-4E2B-A975-DECF3AEB3705}"/>
  <sortState xmlns:xlrd2="http://schemas.microsoft.com/office/spreadsheetml/2017/richdata2" ref="A2:J118">
    <sortCondition descending="1" ref="I1:I118"/>
  </sortState>
  <tableColumns count="10">
    <tableColumn id="1" xr3:uid="{70CAA9AE-E277-4320-8C5E-BCC4E7D9FBE7}" name="Product"/>
    <tableColumn id="2" xr3:uid="{5FF67636-2DDA-44FC-B8D5-736BBE8E9407}" name="Current Price" dataDxfId="3"/>
    <tableColumn id="8" xr3:uid="{D84A7A39-A43D-40D3-AE96-39825A06A32A}" name="Price Category." dataDxfId="4">
      <calculatedColumnFormula>IF(B2&lt;=500,"Low Price",IF(B2&lt;=1500,"Medium Price","High Price"))</calculatedColumnFormula>
    </tableColumn>
    <tableColumn id="3" xr3:uid="{0C3C69C3-C526-4A8D-933E-D0AA65B49879}" name="Old Price." dataDxfId="2"/>
    <tableColumn id="10" xr3:uid="{23873784-BC41-4150-BE9D-40B5000784F1}" name="Discount Amount." dataDxfId="1">
      <calculatedColumnFormula>D2-B2</calculatedColumnFormula>
    </tableColumn>
    <tableColumn id="4" xr3:uid="{500A1212-1CB8-4723-AFEE-64295C795B2B}" name="Discount" dataCellStyle="Percent"/>
    <tableColumn id="12" xr3:uid="{D285BF6D-8D96-4DC0-A273-7389EDC18931}" name="Discount Category." dataDxfId="5" dataCellStyle="Percent">
      <calculatedColumnFormula>IF(F2&lt;0.2,"Low Discount",IF(F2&gt;=0.4,"Medium Discount",IF(F2&gt;40,"High Discount","Medium Discount")))</calculatedColumnFormula>
    </tableColumn>
    <tableColumn id="5" xr3:uid="{126B8223-EDED-47B6-865B-CB23D223FD31}" name="Reviews" dataDxfId="0" dataCellStyle="Percent"/>
    <tableColumn id="6" xr3:uid="{66D271D9-3D5D-45D9-AF9D-0EDF7066EFE3}" name="Ratings"/>
    <tableColumn id="11" xr3:uid="{4B40C27D-36AF-4582-B987-F50CBFFAE6B6}" name="Rating Category." dataDxfId="6">
      <calculatedColumnFormula>IF(I2&lt;3,"Poor",IF(I2&lt;=4,"Average",IF(I2&gt;4.5,"Excellent","Average")))</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7FFB-2E5E-40AA-BAE9-CAD1F87C1269}">
  <dimension ref="A1:F116"/>
  <sheetViews>
    <sheetView zoomScale="105" workbookViewId="0">
      <selection activeCell="G4" sqref="G4"/>
    </sheetView>
  </sheetViews>
  <sheetFormatPr defaultRowHeight="14.5" x14ac:dyDescent="0.35"/>
  <cols>
    <col min="1" max="1" width="80.7265625" bestFit="1" customWidth="1"/>
    <col min="2" max="3" width="18.54296875" bestFit="1" customWidth="1"/>
    <col min="4" max="4" width="10.6328125" bestFit="1" customWidth="1"/>
    <col min="5" max="5" width="9.54296875" bestFit="1" customWidth="1"/>
    <col min="6" max="6" width="10.26953125" bestFit="1" customWidth="1"/>
  </cols>
  <sheetData>
    <row r="1" spans="1:6" x14ac:dyDescent="0.35">
      <c r="A1" t="s">
        <v>0</v>
      </c>
      <c r="B1" t="s">
        <v>1</v>
      </c>
      <c r="C1" t="s">
        <v>2</v>
      </c>
      <c r="D1" t="s">
        <v>3</v>
      </c>
      <c r="E1" t="s">
        <v>4</v>
      </c>
      <c r="F1" t="s">
        <v>5</v>
      </c>
    </row>
    <row r="2" spans="1:6" x14ac:dyDescent="0.35">
      <c r="A2" s="1" t="s">
        <v>6</v>
      </c>
      <c r="B2" s="1" t="s">
        <v>7</v>
      </c>
      <c r="C2" s="1" t="s">
        <v>8</v>
      </c>
      <c r="D2">
        <v>0.38</v>
      </c>
      <c r="E2">
        <v>-2</v>
      </c>
      <c r="F2" s="1" t="s">
        <v>9</v>
      </c>
    </row>
    <row r="3" spans="1:6" x14ac:dyDescent="0.35">
      <c r="A3" s="1" t="s">
        <v>10</v>
      </c>
      <c r="B3" s="1" t="s">
        <v>11</v>
      </c>
      <c r="C3" s="1" t="s">
        <v>12</v>
      </c>
      <c r="D3">
        <v>0.47</v>
      </c>
      <c r="E3">
        <v>-14</v>
      </c>
      <c r="F3" s="1" t="s">
        <v>13</v>
      </c>
    </row>
    <row r="4" spans="1:6" x14ac:dyDescent="0.35">
      <c r="A4" s="1" t="s">
        <v>14</v>
      </c>
      <c r="B4" s="1" t="s">
        <v>15</v>
      </c>
      <c r="C4" s="1" t="s">
        <v>16</v>
      </c>
      <c r="D4">
        <v>0.25</v>
      </c>
      <c r="E4">
        <v>-24</v>
      </c>
      <c r="F4" s="1" t="s">
        <v>17</v>
      </c>
    </row>
    <row r="5" spans="1:6" x14ac:dyDescent="0.35">
      <c r="A5" s="1" t="s">
        <v>18</v>
      </c>
      <c r="B5" s="1" t="s">
        <v>19</v>
      </c>
      <c r="C5" s="1" t="s">
        <v>20</v>
      </c>
      <c r="D5">
        <v>0.37</v>
      </c>
      <c r="E5">
        <v>-7</v>
      </c>
      <c r="F5" s="1" t="s">
        <v>21</v>
      </c>
    </row>
    <row r="6" spans="1:6" x14ac:dyDescent="0.35">
      <c r="A6" s="1" t="s">
        <v>22</v>
      </c>
      <c r="B6" s="1" t="s">
        <v>23</v>
      </c>
      <c r="C6" s="1" t="s">
        <v>24</v>
      </c>
      <c r="D6">
        <v>0.26</v>
      </c>
      <c r="E6">
        <v>-5</v>
      </c>
      <c r="F6" s="1" t="s">
        <v>25</v>
      </c>
    </row>
    <row r="7" spans="1:6" x14ac:dyDescent="0.35">
      <c r="A7" s="1" t="s">
        <v>26</v>
      </c>
      <c r="B7" s="1" t="s">
        <v>27</v>
      </c>
      <c r="C7" s="1" t="s">
        <v>28</v>
      </c>
      <c r="D7">
        <v>0.09</v>
      </c>
      <c r="E7">
        <v>-15</v>
      </c>
      <c r="F7" s="1" t="s">
        <v>29</v>
      </c>
    </row>
    <row r="8" spans="1:6" x14ac:dyDescent="0.35">
      <c r="A8" s="1" t="s">
        <v>30</v>
      </c>
      <c r="B8" s="1" t="s">
        <v>31</v>
      </c>
      <c r="C8" s="1" t="s">
        <v>32</v>
      </c>
      <c r="D8">
        <v>0.24</v>
      </c>
      <c r="E8">
        <v>-55</v>
      </c>
      <c r="F8" s="1" t="s">
        <v>17</v>
      </c>
    </row>
    <row r="9" spans="1:6" x14ac:dyDescent="0.35">
      <c r="A9" s="1" t="s">
        <v>33</v>
      </c>
      <c r="B9" s="1" t="s">
        <v>34</v>
      </c>
      <c r="C9" s="1" t="s">
        <v>19</v>
      </c>
      <c r="D9">
        <v>0.37</v>
      </c>
      <c r="E9">
        <v>-2</v>
      </c>
      <c r="F9" s="1" t="s">
        <v>29</v>
      </c>
    </row>
    <row r="10" spans="1:6" x14ac:dyDescent="0.35">
      <c r="A10" s="1" t="s">
        <v>35</v>
      </c>
      <c r="B10" s="1" t="s">
        <v>36</v>
      </c>
      <c r="C10" s="1" t="s">
        <v>37</v>
      </c>
      <c r="D10">
        <v>0.55000000000000004</v>
      </c>
      <c r="E10">
        <v>-5</v>
      </c>
      <c r="F10" s="1" t="s">
        <v>25</v>
      </c>
    </row>
    <row r="11" spans="1:6" x14ac:dyDescent="0.35">
      <c r="A11" s="1" t="s">
        <v>38</v>
      </c>
      <c r="B11" s="1" t="s">
        <v>39</v>
      </c>
      <c r="C11" s="1" t="s">
        <v>40</v>
      </c>
      <c r="D11">
        <v>0.45</v>
      </c>
      <c r="E11">
        <v>-5</v>
      </c>
      <c r="F11" s="1" t="s">
        <v>41</v>
      </c>
    </row>
    <row r="12" spans="1:6" x14ac:dyDescent="0.35">
      <c r="A12" s="1" t="s">
        <v>42</v>
      </c>
      <c r="B12" s="1" t="s">
        <v>43</v>
      </c>
      <c r="C12" s="1" t="s">
        <v>12</v>
      </c>
      <c r="D12">
        <v>0.2</v>
      </c>
      <c r="E12">
        <v>-12</v>
      </c>
      <c r="F12" s="1" t="s">
        <v>13</v>
      </c>
    </row>
    <row r="13" spans="1:6" x14ac:dyDescent="0.35">
      <c r="A13" s="1" t="s">
        <v>44</v>
      </c>
      <c r="B13" s="1" t="s">
        <v>45</v>
      </c>
      <c r="C13" s="1" t="s">
        <v>46</v>
      </c>
      <c r="D13">
        <v>0.34</v>
      </c>
      <c r="E13">
        <v>-39</v>
      </c>
      <c r="F13" s="1" t="s">
        <v>21</v>
      </c>
    </row>
    <row r="14" spans="1:6" x14ac:dyDescent="0.35">
      <c r="A14" s="1" t="s">
        <v>47</v>
      </c>
      <c r="B14" s="1" t="s">
        <v>48</v>
      </c>
      <c r="C14" s="1" t="s">
        <v>49</v>
      </c>
      <c r="D14">
        <v>0.47</v>
      </c>
      <c r="E14">
        <v>-12</v>
      </c>
      <c r="F14" s="1" t="s">
        <v>25</v>
      </c>
    </row>
    <row r="15" spans="1:6" x14ac:dyDescent="0.35">
      <c r="A15" s="1" t="s">
        <v>50</v>
      </c>
      <c r="B15" s="1" t="s">
        <v>51</v>
      </c>
      <c r="C15" s="1" t="s">
        <v>52</v>
      </c>
      <c r="D15">
        <v>0.42</v>
      </c>
      <c r="E15">
        <v>-6</v>
      </c>
      <c r="F15" s="1" t="s">
        <v>9</v>
      </c>
    </row>
    <row r="16" spans="1:6" x14ac:dyDescent="0.35">
      <c r="A16" s="1" t="s">
        <v>53</v>
      </c>
      <c r="B16" s="1" t="s">
        <v>54</v>
      </c>
      <c r="C16" s="1" t="s">
        <v>20</v>
      </c>
      <c r="D16">
        <v>0.33</v>
      </c>
      <c r="E16">
        <v>-9</v>
      </c>
      <c r="F16" s="1" t="s">
        <v>55</v>
      </c>
    </row>
    <row r="17" spans="1:6" x14ac:dyDescent="0.35">
      <c r="A17" s="1" t="s">
        <v>56</v>
      </c>
      <c r="B17" s="1" t="s">
        <v>57</v>
      </c>
      <c r="C17" s="1" t="s">
        <v>58</v>
      </c>
      <c r="D17">
        <v>0.51</v>
      </c>
      <c r="E17">
        <v>-2</v>
      </c>
      <c r="F17" s="1" t="s">
        <v>59</v>
      </c>
    </row>
    <row r="18" spans="1:6" x14ac:dyDescent="0.35">
      <c r="A18" s="1" t="s">
        <v>60</v>
      </c>
      <c r="B18" s="1" t="s">
        <v>61</v>
      </c>
      <c r="C18" s="1" t="s">
        <v>62</v>
      </c>
      <c r="D18">
        <v>0.46</v>
      </c>
      <c r="E18">
        <v>-2</v>
      </c>
      <c r="F18" s="1" t="s">
        <v>59</v>
      </c>
    </row>
    <row r="19" spans="1:6" x14ac:dyDescent="0.35">
      <c r="A19" s="1" t="s">
        <v>63</v>
      </c>
      <c r="B19" s="1" t="s">
        <v>64</v>
      </c>
      <c r="C19" s="1" t="s">
        <v>65</v>
      </c>
      <c r="D19">
        <v>0.49</v>
      </c>
      <c r="E19">
        <v>-3</v>
      </c>
      <c r="F19" s="1" t="s">
        <v>59</v>
      </c>
    </row>
    <row r="20" spans="1:6" x14ac:dyDescent="0.35">
      <c r="A20" s="1" t="s">
        <v>66</v>
      </c>
      <c r="B20" s="1" t="s">
        <v>27</v>
      </c>
      <c r="C20" s="1" t="s">
        <v>67</v>
      </c>
      <c r="D20">
        <v>0.19</v>
      </c>
      <c r="E20">
        <v>-5</v>
      </c>
      <c r="F20" s="1" t="s">
        <v>17</v>
      </c>
    </row>
    <row r="21" spans="1:6" x14ac:dyDescent="0.35">
      <c r="A21" s="1" t="s">
        <v>68</v>
      </c>
      <c r="B21" s="1" t="s">
        <v>69</v>
      </c>
      <c r="C21" s="1" t="s">
        <v>70</v>
      </c>
      <c r="D21">
        <v>0.49</v>
      </c>
      <c r="E21">
        <v>-44</v>
      </c>
      <c r="F21" s="1" t="s">
        <v>17</v>
      </c>
    </row>
    <row r="22" spans="1:6" x14ac:dyDescent="0.35">
      <c r="A22" s="1" t="s">
        <v>71</v>
      </c>
      <c r="B22" s="1" t="s">
        <v>72</v>
      </c>
      <c r="C22" s="1" t="s">
        <v>73</v>
      </c>
      <c r="D22">
        <v>0.53</v>
      </c>
      <c r="E22">
        <v>-13</v>
      </c>
      <c r="F22" s="1" t="s">
        <v>74</v>
      </c>
    </row>
    <row r="23" spans="1:6" x14ac:dyDescent="0.35">
      <c r="A23" s="1" t="s">
        <v>75</v>
      </c>
      <c r="B23" s="1" t="s">
        <v>76</v>
      </c>
      <c r="C23" s="1" t="s">
        <v>77</v>
      </c>
      <c r="D23">
        <v>0.42</v>
      </c>
      <c r="F23" s="1" t="s">
        <v>78</v>
      </c>
    </row>
    <row r="24" spans="1:6" x14ac:dyDescent="0.35">
      <c r="A24" s="1" t="s">
        <v>79</v>
      </c>
      <c r="B24" s="1" t="s">
        <v>80</v>
      </c>
      <c r="C24" s="1" t="s">
        <v>81</v>
      </c>
      <c r="D24">
        <v>0.35</v>
      </c>
      <c r="E24">
        <v>-6</v>
      </c>
      <c r="F24" s="1" t="s">
        <v>29</v>
      </c>
    </row>
    <row r="25" spans="1:6" x14ac:dyDescent="0.35">
      <c r="A25" s="1" t="s">
        <v>82</v>
      </c>
      <c r="B25" s="1" t="s">
        <v>83</v>
      </c>
      <c r="C25" s="1" t="s">
        <v>84</v>
      </c>
      <c r="D25">
        <v>0.23</v>
      </c>
      <c r="E25">
        <v>-14</v>
      </c>
      <c r="F25" s="1" t="s">
        <v>85</v>
      </c>
    </row>
    <row r="26" spans="1:6" x14ac:dyDescent="0.35">
      <c r="A26" s="1" t="s">
        <v>86</v>
      </c>
      <c r="B26" s="1" t="s">
        <v>87</v>
      </c>
      <c r="C26" s="1" t="s">
        <v>88</v>
      </c>
      <c r="D26">
        <v>0.54</v>
      </c>
      <c r="E26">
        <v>-7</v>
      </c>
      <c r="F26" s="1" t="s">
        <v>89</v>
      </c>
    </row>
    <row r="27" spans="1:6" x14ac:dyDescent="0.35">
      <c r="A27" s="1" t="s">
        <v>90</v>
      </c>
      <c r="B27" s="1" t="s">
        <v>91</v>
      </c>
      <c r="C27" s="1" t="s">
        <v>92</v>
      </c>
      <c r="D27">
        <v>0.35</v>
      </c>
      <c r="E27">
        <v>-49</v>
      </c>
      <c r="F27" s="1" t="s">
        <v>17</v>
      </c>
    </row>
    <row r="28" spans="1:6" x14ac:dyDescent="0.35">
      <c r="A28" s="1" t="s">
        <v>93</v>
      </c>
      <c r="B28" s="1" t="s">
        <v>94</v>
      </c>
      <c r="C28" s="1" t="s">
        <v>95</v>
      </c>
      <c r="D28">
        <v>0.18</v>
      </c>
      <c r="E28">
        <v>-12</v>
      </c>
      <c r="F28" s="1" t="s">
        <v>41</v>
      </c>
    </row>
    <row r="29" spans="1:6" x14ac:dyDescent="0.35">
      <c r="A29" s="1" t="s">
        <v>96</v>
      </c>
      <c r="B29" s="1" t="s">
        <v>81</v>
      </c>
      <c r="C29" s="1" t="s">
        <v>97</v>
      </c>
      <c r="D29">
        <v>0.32</v>
      </c>
      <c r="E29">
        <v>-13</v>
      </c>
      <c r="F29" s="1" t="s">
        <v>41</v>
      </c>
    </row>
    <row r="30" spans="1:6" x14ac:dyDescent="0.35">
      <c r="A30" s="1" t="s">
        <v>98</v>
      </c>
      <c r="B30" s="1" t="s">
        <v>99</v>
      </c>
      <c r="C30" s="1" t="s">
        <v>20</v>
      </c>
      <c r="D30">
        <v>0.3</v>
      </c>
      <c r="E30">
        <v>-20</v>
      </c>
      <c r="F30" s="1" t="s">
        <v>13</v>
      </c>
    </row>
    <row r="31" spans="1:6" x14ac:dyDescent="0.35">
      <c r="A31" s="1" t="s">
        <v>100</v>
      </c>
      <c r="B31" s="1" t="s">
        <v>101</v>
      </c>
      <c r="C31" s="1" t="s">
        <v>102</v>
      </c>
      <c r="D31">
        <v>0.46</v>
      </c>
      <c r="F31" s="1" t="s">
        <v>78</v>
      </c>
    </row>
    <row r="32" spans="1:6" x14ac:dyDescent="0.35">
      <c r="A32" s="1" t="s">
        <v>103</v>
      </c>
      <c r="B32" s="1" t="s">
        <v>104</v>
      </c>
      <c r="C32" s="1" t="s">
        <v>105</v>
      </c>
      <c r="D32">
        <v>0.52</v>
      </c>
      <c r="E32">
        <v>-9</v>
      </c>
      <c r="F32" s="1" t="s">
        <v>89</v>
      </c>
    </row>
    <row r="33" spans="1:6" x14ac:dyDescent="0.35">
      <c r="A33" s="1" t="s">
        <v>106</v>
      </c>
      <c r="B33" s="1" t="s">
        <v>107</v>
      </c>
      <c r="C33" s="1" t="s">
        <v>108</v>
      </c>
      <c r="D33">
        <v>0.34</v>
      </c>
      <c r="E33">
        <v>-12</v>
      </c>
      <c r="F33" s="1" t="s">
        <v>21</v>
      </c>
    </row>
    <row r="34" spans="1:6" x14ac:dyDescent="0.35">
      <c r="A34" s="1" t="s">
        <v>109</v>
      </c>
      <c r="B34" s="1" t="s">
        <v>110</v>
      </c>
      <c r="C34" s="1" t="s">
        <v>111</v>
      </c>
      <c r="D34">
        <v>0.48</v>
      </c>
      <c r="E34">
        <v>-9</v>
      </c>
      <c r="F34" s="1" t="s">
        <v>89</v>
      </c>
    </row>
    <row r="35" spans="1:6" x14ac:dyDescent="0.35">
      <c r="A35" s="1" t="s">
        <v>112</v>
      </c>
      <c r="B35" s="1" t="s">
        <v>113</v>
      </c>
      <c r="C35" s="1" t="s">
        <v>114</v>
      </c>
      <c r="D35">
        <v>0.27</v>
      </c>
      <c r="E35">
        <v>-20</v>
      </c>
      <c r="F35" s="1" t="s">
        <v>21</v>
      </c>
    </row>
    <row r="36" spans="1:6" x14ac:dyDescent="0.35">
      <c r="A36" s="1" t="s">
        <v>115</v>
      </c>
      <c r="B36" s="1" t="s">
        <v>116</v>
      </c>
      <c r="C36" s="1" t="s">
        <v>117</v>
      </c>
      <c r="D36">
        <v>0.27</v>
      </c>
      <c r="E36">
        <v>-32</v>
      </c>
      <c r="F36" s="1" t="s">
        <v>9</v>
      </c>
    </row>
    <row r="37" spans="1:6" x14ac:dyDescent="0.35">
      <c r="A37" s="1" t="s">
        <v>118</v>
      </c>
      <c r="B37" s="1" t="s">
        <v>119</v>
      </c>
      <c r="C37" s="1" t="s">
        <v>120</v>
      </c>
      <c r="D37">
        <v>0.4</v>
      </c>
      <c r="E37">
        <v>-1</v>
      </c>
      <c r="F37" s="1" t="s">
        <v>59</v>
      </c>
    </row>
    <row r="38" spans="1:6" x14ac:dyDescent="0.35">
      <c r="A38" s="1" t="s">
        <v>121</v>
      </c>
      <c r="B38" s="1" t="s">
        <v>122</v>
      </c>
      <c r="C38" s="1" t="s">
        <v>62</v>
      </c>
      <c r="D38">
        <v>0.53</v>
      </c>
      <c r="E38">
        <v>-2</v>
      </c>
      <c r="F38" s="1" t="s">
        <v>59</v>
      </c>
    </row>
    <row r="39" spans="1:6" x14ac:dyDescent="0.35">
      <c r="A39" s="1" t="s">
        <v>123</v>
      </c>
      <c r="B39" s="1" t="s">
        <v>124</v>
      </c>
      <c r="C39" s="1" t="s">
        <v>125</v>
      </c>
      <c r="D39">
        <v>0.41</v>
      </c>
      <c r="E39">
        <v>-36</v>
      </c>
      <c r="F39" s="1" t="s">
        <v>89</v>
      </c>
    </row>
    <row r="40" spans="1:6" x14ac:dyDescent="0.35">
      <c r="A40" s="1" t="s">
        <v>126</v>
      </c>
      <c r="B40" s="1" t="s">
        <v>127</v>
      </c>
      <c r="C40" s="1" t="s">
        <v>128</v>
      </c>
      <c r="D40">
        <v>0.38</v>
      </c>
      <c r="E40">
        <v>-2</v>
      </c>
      <c r="F40" s="1" t="s">
        <v>9</v>
      </c>
    </row>
    <row r="41" spans="1:6" x14ac:dyDescent="0.35">
      <c r="A41" s="1" t="s">
        <v>129</v>
      </c>
      <c r="B41" s="1" t="s">
        <v>130</v>
      </c>
      <c r="C41" s="1" t="s">
        <v>131</v>
      </c>
      <c r="D41">
        <v>0.38</v>
      </c>
      <c r="F41" s="1" t="s">
        <v>78</v>
      </c>
    </row>
    <row r="42" spans="1:6" x14ac:dyDescent="0.35">
      <c r="A42" s="1" t="s">
        <v>132</v>
      </c>
      <c r="B42" s="1" t="s">
        <v>133</v>
      </c>
      <c r="C42" s="1" t="s">
        <v>134</v>
      </c>
      <c r="D42">
        <v>0.49</v>
      </c>
      <c r="F42" s="1" t="s">
        <v>78</v>
      </c>
    </row>
    <row r="43" spans="1:6" x14ac:dyDescent="0.35">
      <c r="A43" s="1" t="s">
        <v>135</v>
      </c>
      <c r="B43" s="1" t="s">
        <v>136</v>
      </c>
      <c r="C43" s="1" t="s">
        <v>137</v>
      </c>
      <c r="D43">
        <v>0.5</v>
      </c>
      <c r="F43" s="1" t="s">
        <v>78</v>
      </c>
    </row>
    <row r="44" spans="1:6" x14ac:dyDescent="0.35">
      <c r="A44" s="1" t="s">
        <v>138</v>
      </c>
      <c r="B44" s="1" t="s">
        <v>139</v>
      </c>
      <c r="C44" s="1" t="s">
        <v>140</v>
      </c>
      <c r="D44">
        <v>0.42</v>
      </c>
      <c r="F44" s="1" t="s">
        <v>78</v>
      </c>
    </row>
    <row r="45" spans="1:6" x14ac:dyDescent="0.35">
      <c r="A45" s="1" t="s">
        <v>138</v>
      </c>
      <c r="B45" s="1" t="s">
        <v>139</v>
      </c>
      <c r="C45" s="1" t="s">
        <v>140</v>
      </c>
      <c r="D45">
        <v>0.42</v>
      </c>
      <c r="F45" s="1" t="s">
        <v>78</v>
      </c>
    </row>
    <row r="46" spans="1:6" x14ac:dyDescent="0.35">
      <c r="A46" s="1" t="s">
        <v>141</v>
      </c>
      <c r="B46" s="1" t="s">
        <v>142</v>
      </c>
      <c r="C46" s="1" t="s">
        <v>143</v>
      </c>
      <c r="D46">
        <v>0.02</v>
      </c>
      <c r="F46" s="1" t="s">
        <v>78</v>
      </c>
    </row>
    <row r="47" spans="1:6" x14ac:dyDescent="0.35">
      <c r="A47" s="1" t="s">
        <v>144</v>
      </c>
      <c r="B47" s="1" t="s">
        <v>12</v>
      </c>
      <c r="C47" s="1" t="s">
        <v>145</v>
      </c>
      <c r="D47">
        <v>0.5</v>
      </c>
      <c r="F47" s="1" t="s">
        <v>78</v>
      </c>
    </row>
    <row r="48" spans="1:6" x14ac:dyDescent="0.35">
      <c r="A48" s="1" t="s">
        <v>146</v>
      </c>
      <c r="B48" s="1" t="s">
        <v>147</v>
      </c>
      <c r="C48" s="1" t="s">
        <v>148</v>
      </c>
      <c r="D48">
        <v>0.33</v>
      </c>
      <c r="F48" s="1" t="s">
        <v>78</v>
      </c>
    </row>
    <row r="49" spans="1:6" x14ac:dyDescent="0.35">
      <c r="A49" s="1" t="s">
        <v>149</v>
      </c>
      <c r="B49" s="1" t="s">
        <v>150</v>
      </c>
      <c r="C49" s="1" t="s">
        <v>151</v>
      </c>
      <c r="D49">
        <v>0.49</v>
      </c>
      <c r="F49" s="1" t="s">
        <v>78</v>
      </c>
    </row>
    <row r="50" spans="1:6" x14ac:dyDescent="0.35">
      <c r="A50" s="1" t="s">
        <v>152</v>
      </c>
      <c r="B50" s="1" t="s">
        <v>153</v>
      </c>
      <c r="C50" s="1" t="s">
        <v>154</v>
      </c>
      <c r="D50">
        <v>0.38</v>
      </c>
      <c r="F50" s="1" t="s">
        <v>78</v>
      </c>
    </row>
    <row r="51" spans="1:6" x14ac:dyDescent="0.35">
      <c r="A51" s="1" t="s">
        <v>155</v>
      </c>
      <c r="B51" s="1" t="s">
        <v>156</v>
      </c>
      <c r="C51" s="1" t="s">
        <v>157</v>
      </c>
      <c r="D51">
        <v>0.61</v>
      </c>
      <c r="F51" s="1" t="s">
        <v>78</v>
      </c>
    </row>
    <row r="52" spans="1:6" x14ac:dyDescent="0.35">
      <c r="A52" s="1" t="s">
        <v>158</v>
      </c>
      <c r="B52" s="1" t="s">
        <v>159</v>
      </c>
      <c r="C52" s="1" t="s">
        <v>160</v>
      </c>
      <c r="D52">
        <v>0.5</v>
      </c>
      <c r="F52" s="1" t="s">
        <v>78</v>
      </c>
    </row>
    <row r="53" spans="1:6" x14ac:dyDescent="0.35">
      <c r="A53" s="1" t="s">
        <v>161</v>
      </c>
      <c r="B53" s="1" t="s">
        <v>162</v>
      </c>
      <c r="C53" s="1" t="s">
        <v>163</v>
      </c>
      <c r="D53">
        <v>0.02</v>
      </c>
      <c r="F53" s="1" t="s">
        <v>78</v>
      </c>
    </row>
    <row r="54" spans="1:6" x14ac:dyDescent="0.35">
      <c r="A54" s="1" t="s">
        <v>164</v>
      </c>
      <c r="B54" s="1" t="s">
        <v>159</v>
      </c>
      <c r="C54" s="1" t="s">
        <v>165</v>
      </c>
      <c r="D54">
        <v>0.22</v>
      </c>
      <c r="F54" s="1" t="s">
        <v>78</v>
      </c>
    </row>
    <row r="55" spans="1:6" x14ac:dyDescent="0.35">
      <c r="A55" s="1" t="s">
        <v>166</v>
      </c>
      <c r="B55" s="1" t="s">
        <v>167</v>
      </c>
      <c r="C55" s="1" t="s">
        <v>168</v>
      </c>
      <c r="D55">
        <v>0.03</v>
      </c>
      <c r="F55" s="1" t="s">
        <v>78</v>
      </c>
    </row>
    <row r="56" spans="1:6" x14ac:dyDescent="0.35">
      <c r="A56" s="1" t="s">
        <v>169</v>
      </c>
      <c r="B56" s="1" t="s">
        <v>43</v>
      </c>
      <c r="C56" s="1" t="s">
        <v>170</v>
      </c>
      <c r="D56">
        <v>0.41</v>
      </c>
      <c r="F56" s="1" t="s">
        <v>78</v>
      </c>
    </row>
    <row r="57" spans="1:6" x14ac:dyDescent="0.35">
      <c r="A57" s="1" t="s">
        <v>171</v>
      </c>
      <c r="B57" s="1" t="s">
        <v>172</v>
      </c>
      <c r="C57" s="1" t="s">
        <v>173</v>
      </c>
      <c r="D57">
        <v>0.45</v>
      </c>
      <c r="F57" s="1" t="s">
        <v>78</v>
      </c>
    </row>
    <row r="58" spans="1:6" x14ac:dyDescent="0.35">
      <c r="A58" s="1" t="s">
        <v>174</v>
      </c>
      <c r="B58" s="1" t="s">
        <v>175</v>
      </c>
      <c r="C58" s="1" t="s">
        <v>170</v>
      </c>
      <c r="D58">
        <v>0.48</v>
      </c>
      <c r="F58" s="1" t="s">
        <v>78</v>
      </c>
    </row>
    <row r="59" spans="1:6" x14ac:dyDescent="0.35">
      <c r="A59" s="1" t="s">
        <v>176</v>
      </c>
      <c r="B59" s="1" t="s">
        <v>43</v>
      </c>
      <c r="C59" s="1" t="s">
        <v>177</v>
      </c>
      <c r="D59">
        <v>0.49</v>
      </c>
      <c r="F59" s="1" t="s">
        <v>78</v>
      </c>
    </row>
    <row r="60" spans="1:6" x14ac:dyDescent="0.35">
      <c r="A60" s="1" t="s">
        <v>178</v>
      </c>
      <c r="B60" s="1" t="s">
        <v>179</v>
      </c>
      <c r="C60" s="1" t="s">
        <v>180</v>
      </c>
      <c r="D60">
        <v>0.27</v>
      </c>
      <c r="F60" s="1" t="s">
        <v>78</v>
      </c>
    </row>
    <row r="61" spans="1:6" x14ac:dyDescent="0.35">
      <c r="A61" s="1" t="s">
        <v>171</v>
      </c>
      <c r="B61" s="1" t="s">
        <v>181</v>
      </c>
      <c r="C61" s="1" t="s">
        <v>182</v>
      </c>
      <c r="D61">
        <v>0.55000000000000004</v>
      </c>
      <c r="F61" s="1" t="s">
        <v>78</v>
      </c>
    </row>
    <row r="62" spans="1:6" x14ac:dyDescent="0.35">
      <c r="A62" s="1" t="s">
        <v>183</v>
      </c>
      <c r="B62" s="1" t="s">
        <v>184</v>
      </c>
      <c r="C62" s="1" t="s">
        <v>185</v>
      </c>
      <c r="D62">
        <v>0.13</v>
      </c>
      <c r="E62">
        <v>-6</v>
      </c>
      <c r="F62" s="1" t="s">
        <v>186</v>
      </c>
    </row>
    <row r="63" spans="1:6" x14ac:dyDescent="0.35">
      <c r="A63" s="1" t="s">
        <v>187</v>
      </c>
      <c r="B63" s="1" t="s">
        <v>188</v>
      </c>
      <c r="C63" s="1" t="s">
        <v>189</v>
      </c>
      <c r="D63">
        <v>0.54</v>
      </c>
      <c r="E63">
        <v>-10</v>
      </c>
      <c r="F63" s="1" t="s">
        <v>190</v>
      </c>
    </row>
    <row r="64" spans="1:6" x14ac:dyDescent="0.35">
      <c r="A64" s="1" t="s">
        <v>191</v>
      </c>
      <c r="B64" s="1" t="s">
        <v>192</v>
      </c>
      <c r="C64" s="1" t="s">
        <v>193</v>
      </c>
      <c r="D64">
        <v>0.55000000000000004</v>
      </c>
      <c r="E64">
        <v>-13</v>
      </c>
      <c r="F64" s="1" t="s">
        <v>194</v>
      </c>
    </row>
    <row r="65" spans="1:6" x14ac:dyDescent="0.35">
      <c r="A65" s="1" t="s">
        <v>195</v>
      </c>
      <c r="B65" s="1" t="s">
        <v>196</v>
      </c>
      <c r="C65" s="1" t="s">
        <v>197</v>
      </c>
      <c r="D65">
        <v>0.49</v>
      </c>
      <c r="E65">
        <v>-69</v>
      </c>
      <c r="F65" s="1" t="s">
        <v>198</v>
      </c>
    </row>
    <row r="66" spans="1:6" x14ac:dyDescent="0.35">
      <c r="A66" s="1" t="s">
        <v>199</v>
      </c>
      <c r="B66" s="1" t="s">
        <v>200</v>
      </c>
      <c r="C66" s="1" t="s">
        <v>201</v>
      </c>
      <c r="D66">
        <v>0.52</v>
      </c>
      <c r="E66">
        <v>-15</v>
      </c>
      <c r="F66" s="1" t="s">
        <v>202</v>
      </c>
    </row>
    <row r="67" spans="1:6" x14ac:dyDescent="0.35">
      <c r="A67" s="1" t="s">
        <v>203</v>
      </c>
      <c r="B67" s="1" t="s">
        <v>204</v>
      </c>
      <c r="C67" s="1" t="s">
        <v>205</v>
      </c>
      <c r="D67">
        <v>0.22</v>
      </c>
      <c r="E67">
        <v>-16</v>
      </c>
      <c r="F67" s="1" t="s">
        <v>206</v>
      </c>
    </row>
    <row r="68" spans="1:6" x14ac:dyDescent="0.35">
      <c r="A68" s="1" t="s">
        <v>207</v>
      </c>
      <c r="B68" s="1" t="s">
        <v>45</v>
      </c>
      <c r="C68" s="1" t="s">
        <v>208</v>
      </c>
      <c r="D68">
        <v>0.45</v>
      </c>
      <c r="E68">
        <v>-6</v>
      </c>
      <c r="F68" s="1" t="s">
        <v>209</v>
      </c>
    </row>
    <row r="69" spans="1:6" x14ac:dyDescent="0.35">
      <c r="A69" s="1" t="s">
        <v>210</v>
      </c>
      <c r="B69" s="1" t="s">
        <v>211</v>
      </c>
      <c r="C69" s="1" t="s">
        <v>145</v>
      </c>
      <c r="D69">
        <v>0.5</v>
      </c>
      <c r="E69">
        <v>-7</v>
      </c>
      <c r="F69" s="1" t="s">
        <v>212</v>
      </c>
    </row>
    <row r="70" spans="1:6" x14ac:dyDescent="0.35">
      <c r="A70" s="1" t="s">
        <v>213</v>
      </c>
      <c r="B70" s="1" t="s">
        <v>214</v>
      </c>
      <c r="C70" s="1" t="s">
        <v>215</v>
      </c>
      <c r="D70">
        <v>0.39</v>
      </c>
      <c r="E70">
        <v>-5</v>
      </c>
      <c r="F70" s="1" t="s">
        <v>190</v>
      </c>
    </row>
    <row r="71" spans="1:6" x14ac:dyDescent="0.35">
      <c r="A71" s="1" t="s">
        <v>216</v>
      </c>
      <c r="B71" s="1" t="s">
        <v>105</v>
      </c>
      <c r="C71" s="1" t="s">
        <v>217</v>
      </c>
      <c r="D71">
        <v>0.45</v>
      </c>
      <c r="E71">
        <v>-17</v>
      </c>
      <c r="F71" s="1" t="s">
        <v>218</v>
      </c>
    </row>
    <row r="72" spans="1:6" x14ac:dyDescent="0.35">
      <c r="A72" s="1" t="s">
        <v>219</v>
      </c>
      <c r="B72" s="1" t="s">
        <v>220</v>
      </c>
      <c r="C72" s="1" t="s">
        <v>221</v>
      </c>
      <c r="D72">
        <v>0.28999999999999998</v>
      </c>
      <c r="E72">
        <v>-5</v>
      </c>
      <c r="F72" s="1" t="s">
        <v>190</v>
      </c>
    </row>
    <row r="73" spans="1:6" x14ac:dyDescent="0.35">
      <c r="A73" s="1" t="s">
        <v>222</v>
      </c>
      <c r="B73" s="1" t="s">
        <v>223</v>
      </c>
      <c r="C73" s="1" t="s">
        <v>224</v>
      </c>
      <c r="D73">
        <v>0.43</v>
      </c>
      <c r="E73">
        <v>-6</v>
      </c>
      <c r="F73" s="1" t="s">
        <v>212</v>
      </c>
    </row>
    <row r="74" spans="1:6" x14ac:dyDescent="0.35">
      <c r="A74" s="1" t="s">
        <v>225</v>
      </c>
      <c r="B74" s="1" t="s">
        <v>226</v>
      </c>
      <c r="C74" s="1" t="s">
        <v>227</v>
      </c>
      <c r="D74">
        <v>0.43</v>
      </c>
      <c r="E74">
        <v>-5</v>
      </c>
      <c r="F74" s="1" t="s">
        <v>190</v>
      </c>
    </row>
    <row r="75" spans="1:6" x14ac:dyDescent="0.35">
      <c r="A75" s="1" t="s">
        <v>228</v>
      </c>
      <c r="B75" s="1" t="s">
        <v>229</v>
      </c>
      <c r="C75" s="1" t="s">
        <v>208</v>
      </c>
      <c r="D75">
        <v>0.47</v>
      </c>
      <c r="E75">
        <v>-6</v>
      </c>
      <c r="F75" s="1" t="s">
        <v>209</v>
      </c>
    </row>
    <row r="76" spans="1:6" x14ac:dyDescent="0.35">
      <c r="A76" s="1" t="s">
        <v>230</v>
      </c>
      <c r="B76" s="1" t="s">
        <v>231</v>
      </c>
      <c r="C76" s="1" t="s">
        <v>232</v>
      </c>
      <c r="D76">
        <v>0.47</v>
      </c>
      <c r="E76">
        <v>-7</v>
      </c>
      <c r="F76" s="1" t="s">
        <v>194</v>
      </c>
    </row>
    <row r="77" spans="1:6" x14ac:dyDescent="0.35">
      <c r="A77" s="1" t="s">
        <v>233</v>
      </c>
      <c r="B77" s="1" t="s">
        <v>234</v>
      </c>
      <c r="C77" s="1" t="s">
        <v>235</v>
      </c>
      <c r="D77">
        <v>0.47</v>
      </c>
      <c r="F77" s="1" t="s">
        <v>78</v>
      </c>
    </row>
    <row r="78" spans="1:6" x14ac:dyDescent="0.35">
      <c r="A78" s="1" t="s">
        <v>236</v>
      </c>
      <c r="B78" s="1" t="s">
        <v>237</v>
      </c>
      <c r="C78" s="1" t="s">
        <v>153</v>
      </c>
      <c r="D78">
        <v>0.43</v>
      </c>
      <c r="F78" s="1" t="s">
        <v>78</v>
      </c>
    </row>
    <row r="79" spans="1:6" x14ac:dyDescent="0.35">
      <c r="A79" s="1" t="s">
        <v>238</v>
      </c>
      <c r="B79" s="1" t="s">
        <v>239</v>
      </c>
      <c r="C79" s="1" t="s">
        <v>240</v>
      </c>
      <c r="D79">
        <v>0.04</v>
      </c>
      <c r="F79" s="1" t="s">
        <v>78</v>
      </c>
    </row>
    <row r="80" spans="1:6" x14ac:dyDescent="0.35">
      <c r="A80" s="1" t="s">
        <v>241</v>
      </c>
      <c r="B80" s="1" t="s">
        <v>242</v>
      </c>
      <c r="C80" s="1" t="s">
        <v>243</v>
      </c>
      <c r="D80">
        <v>0.49</v>
      </c>
      <c r="F80" s="1" t="s">
        <v>78</v>
      </c>
    </row>
    <row r="81" spans="1:6" x14ac:dyDescent="0.35">
      <c r="A81" s="1" t="s">
        <v>244</v>
      </c>
      <c r="B81" s="1" t="s">
        <v>245</v>
      </c>
      <c r="C81" s="1" t="s">
        <v>15</v>
      </c>
      <c r="D81">
        <v>0.46</v>
      </c>
      <c r="E81">
        <v>-1</v>
      </c>
      <c r="F81" s="1" t="s">
        <v>190</v>
      </c>
    </row>
    <row r="82" spans="1:6" x14ac:dyDescent="0.35">
      <c r="A82" s="1" t="s">
        <v>246</v>
      </c>
      <c r="B82" s="1" t="s">
        <v>247</v>
      </c>
      <c r="C82" s="1" t="s">
        <v>248</v>
      </c>
      <c r="D82">
        <v>0.49</v>
      </c>
      <c r="E82">
        <v>-1</v>
      </c>
      <c r="F82" s="1" t="s">
        <v>59</v>
      </c>
    </row>
    <row r="83" spans="1:6" x14ac:dyDescent="0.35">
      <c r="A83" s="1" t="s">
        <v>249</v>
      </c>
      <c r="B83" s="1" t="s">
        <v>250</v>
      </c>
      <c r="C83" s="1" t="s">
        <v>251</v>
      </c>
      <c r="D83">
        <v>0.36</v>
      </c>
      <c r="F83" s="1" t="s">
        <v>78</v>
      </c>
    </row>
    <row r="84" spans="1:6" x14ac:dyDescent="0.35">
      <c r="A84" s="1" t="s">
        <v>252</v>
      </c>
      <c r="B84" s="1" t="s">
        <v>253</v>
      </c>
      <c r="C84" s="1" t="s">
        <v>163</v>
      </c>
      <c r="D84">
        <v>0.02</v>
      </c>
      <c r="F84" s="1" t="s">
        <v>78</v>
      </c>
    </row>
    <row r="85" spans="1:6" x14ac:dyDescent="0.35">
      <c r="A85" s="1" t="s">
        <v>254</v>
      </c>
      <c r="B85" s="1" t="s">
        <v>255</v>
      </c>
      <c r="C85" s="1" t="s">
        <v>92</v>
      </c>
      <c r="D85">
        <v>0.49</v>
      </c>
      <c r="E85">
        <v>-1</v>
      </c>
      <c r="F85" s="1" t="s">
        <v>29</v>
      </c>
    </row>
    <row r="86" spans="1:6" x14ac:dyDescent="0.35">
      <c r="A86" s="1" t="s">
        <v>138</v>
      </c>
      <c r="B86" s="1" t="s">
        <v>139</v>
      </c>
      <c r="C86" s="1" t="s">
        <v>140</v>
      </c>
      <c r="D86">
        <v>0.42</v>
      </c>
      <c r="F86" s="1" t="s">
        <v>78</v>
      </c>
    </row>
    <row r="87" spans="1:6" x14ac:dyDescent="0.35">
      <c r="A87" s="1" t="s">
        <v>155</v>
      </c>
      <c r="B87" s="1" t="s">
        <v>256</v>
      </c>
      <c r="C87" s="1" t="s">
        <v>223</v>
      </c>
      <c r="D87">
        <v>0.49</v>
      </c>
      <c r="F87" s="1" t="s">
        <v>78</v>
      </c>
    </row>
    <row r="88" spans="1:6" x14ac:dyDescent="0.35">
      <c r="A88" s="1" t="s">
        <v>257</v>
      </c>
      <c r="B88" s="1" t="s">
        <v>258</v>
      </c>
      <c r="C88" s="1" t="s">
        <v>163</v>
      </c>
      <c r="D88">
        <v>0.14000000000000001</v>
      </c>
      <c r="F88" s="1" t="s">
        <v>78</v>
      </c>
    </row>
    <row r="89" spans="1:6" x14ac:dyDescent="0.35">
      <c r="A89" s="1" t="s">
        <v>259</v>
      </c>
      <c r="B89" s="1" t="s">
        <v>260</v>
      </c>
      <c r="C89" s="1" t="s">
        <v>261</v>
      </c>
      <c r="D89">
        <v>0.49</v>
      </c>
      <c r="F89" s="1" t="s">
        <v>78</v>
      </c>
    </row>
    <row r="90" spans="1:6" x14ac:dyDescent="0.35">
      <c r="A90" s="1" t="s">
        <v>262</v>
      </c>
      <c r="B90" s="1" t="s">
        <v>43</v>
      </c>
      <c r="C90" s="1" t="s">
        <v>173</v>
      </c>
      <c r="D90">
        <v>0.11</v>
      </c>
      <c r="F90" s="1" t="s">
        <v>78</v>
      </c>
    </row>
    <row r="91" spans="1:6" x14ac:dyDescent="0.35">
      <c r="A91" s="1" t="s">
        <v>176</v>
      </c>
      <c r="B91" s="1" t="s">
        <v>263</v>
      </c>
      <c r="C91" s="1" t="s">
        <v>264</v>
      </c>
      <c r="D91">
        <v>0.49</v>
      </c>
      <c r="F91" s="1" t="s">
        <v>78</v>
      </c>
    </row>
    <row r="92" spans="1:6" x14ac:dyDescent="0.35">
      <c r="A92" s="1" t="s">
        <v>265</v>
      </c>
      <c r="B92" s="1" t="s">
        <v>266</v>
      </c>
      <c r="C92" s="1" t="s">
        <v>163</v>
      </c>
      <c r="D92">
        <v>0.14000000000000001</v>
      </c>
      <c r="F92" s="1" t="s">
        <v>78</v>
      </c>
    </row>
    <row r="93" spans="1:6" x14ac:dyDescent="0.35">
      <c r="A93" s="1" t="s">
        <v>267</v>
      </c>
      <c r="B93" s="1" t="s">
        <v>268</v>
      </c>
      <c r="C93" s="1" t="s">
        <v>269</v>
      </c>
      <c r="D93">
        <v>0.43</v>
      </c>
      <c r="F93" s="1" t="s">
        <v>78</v>
      </c>
    </row>
    <row r="94" spans="1:6" x14ac:dyDescent="0.35">
      <c r="A94" s="1" t="s">
        <v>270</v>
      </c>
      <c r="B94" s="1" t="s">
        <v>271</v>
      </c>
      <c r="C94" s="1" t="s">
        <v>272</v>
      </c>
      <c r="D94">
        <v>0.5</v>
      </c>
      <c r="F94" s="1" t="s">
        <v>78</v>
      </c>
    </row>
    <row r="95" spans="1:6" x14ac:dyDescent="0.35">
      <c r="A95" s="1" t="s">
        <v>273</v>
      </c>
      <c r="B95" s="1" t="s">
        <v>274</v>
      </c>
      <c r="C95" s="1" t="s">
        <v>185</v>
      </c>
      <c r="D95">
        <v>0.48</v>
      </c>
      <c r="F95" s="1" t="s">
        <v>78</v>
      </c>
    </row>
    <row r="96" spans="1:6" x14ac:dyDescent="0.35">
      <c r="A96" s="1" t="s">
        <v>275</v>
      </c>
      <c r="B96" s="1" t="s">
        <v>276</v>
      </c>
      <c r="C96" s="1" t="s">
        <v>277</v>
      </c>
      <c r="D96">
        <v>0.48</v>
      </c>
      <c r="F96" s="1" t="s">
        <v>78</v>
      </c>
    </row>
    <row r="97" spans="1:6" x14ac:dyDescent="0.35">
      <c r="A97" s="1" t="s">
        <v>278</v>
      </c>
      <c r="B97" s="1" t="s">
        <v>227</v>
      </c>
      <c r="C97" s="1" t="s">
        <v>163</v>
      </c>
      <c r="D97">
        <v>0.47</v>
      </c>
      <c r="F97" s="1" t="s">
        <v>78</v>
      </c>
    </row>
    <row r="98" spans="1:6" x14ac:dyDescent="0.35">
      <c r="A98" s="1" t="s">
        <v>278</v>
      </c>
      <c r="B98" s="1" t="s">
        <v>227</v>
      </c>
      <c r="C98" s="1" t="s">
        <v>163</v>
      </c>
      <c r="D98">
        <v>0.47</v>
      </c>
      <c r="F98" s="1" t="s">
        <v>78</v>
      </c>
    </row>
    <row r="99" spans="1:6" x14ac:dyDescent="0.35">
      <c r="A99" s="1" t="s">
        <v>279</v>
      </c>
      <c r="B99" s="1" t="s">
        <v>153</v>
      </c>
      <c r="C99" s="1" t="s">
        <v>280</v>
      </c>
      <c r="D99">
        <v>0.5</v>
      </c>
      <c r="F99" s="1" t="s">
        <v>78</v>
      </c>
    </row>
    <row r="100" spans="1:6" x14ac:dyDescent="0.35">
      <c r="A100" s="1" t="s">
        <v>281</v>
      </c>
      <c r="B100" s="1" t="s">
        <v>282</v>
      </c>
      <c r="C100" s="1" t="s">
        <v>162</v>
      </c>
      <c r="D100">
        <v>0.08</v>
      </c>
      <c r="F100" s="1" t="s">
        <v>78</v>
      </c>
    </row>
    <row r="101" spans="1:6" x14ac:dyDescent="0.35">
      <c r="A101" s="1" t="s">
        <v>283</v>
      </c>
      <c r="B101" s="1" t="s">
        <v>284</v>
      </c>
      <c r="C101" s="1" t="s">
        <v>168</v>
      </c>
      <c r="D101">
        <v>0.02</v>
      </c>
      <c r="F101" s="1" t="s">
        <v>78</v>
      </c>
    </row>
    <row r="102" spans="1:6" x14ac:dyDescent="0.35">
      <c r="A102" s="1" t="s">
        <v>285</v>
      </c>
      <c r="B102" s="1" t="s">
        <v>286</v>
      </c>
      <c r="C102" s="1" t="s">
        <v>287</v>
      </c>
      <c r="D102">
        <v>0.49</v>
      </c>
      <c r="F102" s="1" t="s">
        <v>78</v>
      </c>
    </row>
    <row r="103" spans="1:6" x14ac:dyDescent="0.35">
      <c r="A103" s="1" t="s">
        <v>288</v>
      </c>
      <c r="B103" s="1" t="s">
        <v>289</v>
      </c>
      <c r="C103" s="1" t="s">
        <v>67</v>
      </c>
      <c r="D103">
        <v>0.04</v>
      </c>
      <c r="F103" s="1" t="s">
        <v>78</v>
      </c>
    </row>
    <row r="104" spans="1:6" x14ac:dyDescent="0.35">
      <c r="A104" s="1" t="s">
        <v>290</v>
      </c>
      <c r="B104" s="1" t="s">
        <v>291</v>
      </c>
      <c r="C104" s="1" t="s">
        <v>292</v>
      </c>
      <c r="D104">
        <v>0.49</v>
      </c>
      <c r="F104" s="1" t="s">
        <v>78</v>
      </c>
    </row>
    <row r="105" spans="1:6" x14ac:dyDescent="0.35">
      <c r="A105" s="1" t="s">
        <v>293</v>
      </c>
      <c r="B105" s="1" t="s">
        <v>294</v>
      </c>
      <c r="C105" s="1" t="s">
        <v>295</v>
      </c>
      <c r="D105">
        <v>0.42</v>
      </c>
      <c r="F105" s="1" t="s">
        <v>78</v>
      </c>
    </row>
    <row r="106" spans="1:6" x14ac:dyDescent="0.35">
      <c r="A106" s="1" t="s">
        <v>296</v>
      </c>
      <c r="B106" s="1" t="s">
        <v>297</v>
      </c>
      <c r="C106" s="1" t="s">
        <v>298</v>
      </c>
      <c r="D106">
        <v>0.21</v>
      </c>
      <c r="E106">
        <v>-1</v>
      </c>
      <c r="F106" s="1" t="s">
        <v>59</v>
      </c>
    </row>
    <row r="107" spans="1:6" x14ac:dyDescent="0.35">
      <c r="A107" s="1" t="s">
        <v>299</v>
      </c>
      <c r="B107" s="1" t="s">
        <v>300</v>
      </c>
      <c r="C107" s="1" t="s">
        <v>301</v>
      </c>
      <c r="D107">
        <v>0.41</v>
      </c>
      <c r="F107" s="1" t="s">
        <v>78</v>
      </c>
    </row>
    <row r="108" spans="1:6" x14ac:dyDescent="0.35">
      <c r="A108" s="1" t="s">
        <v>302</v>
      </c>
      <c r="B108" s="1" t="s">
        <v>303</v>
      </c>
      <c r="C108" s="1" t="s">
        <v>304</v>
      </c>
      <c r="D108">
        <v>0.01</v>
      </c>
      <c r="F108" s="1" t="s">
        <v>78</v>
      </c>
    </row>
    <row r="109" spans="1:6" x14ac:dyDescent="0.35">
      <c r="A109" s="1" t="s">
        <v>305</v>
      </c>
      <c r="B109" s="1" t="s">
        <v>306</v>
      </c>
      <c r="C109" s="1" t="s">
        <v>307</v>
      </c>
      <c r="D109">
        <v>0.24</v>
      </c>
      <c r="F109" s="1" t="s">
        <v>78</v>
      </c>
    </row>
    <row r="110" spans="1:6" x14ac:dyDescent="0.35">
      <c r="A110" s="1" t="s">
        <v>308</v>
      </c>
      <c r="B110" s="1" t="s">
        <v>309</v>
      </c>
      <c r="C110" s="1" t="s">
        <v>310</v>
      </c>
      <c r="D110">
        <v>0.34</v>
      </c>
      <c r="F110" s="1" t="s">
        <v>78</v>
      </c>
    </row>
    <row r="111" spans="1:6" x14ac:dyDescent="0.35">
      <c r="A111" s="1" t="s">
        <v>311</v>
      </c>
      <c r="B111" s="1" t="s">
        <v>147</v>
      </c>
      <c r="C111" s="1" t="s">
        <v>312</v>
      </c>
      <c r="D111">
        <v>0.34</v>
      </c>
      <c r="F111" s="1" t="s">
        <v>78</v>
      </c>
    </row>
    <row r="112" spans="1:6" x14ac:dyDescent="0.35">
      <c r="A112" s="1" t="s">
        <v>313</v>
      </c>
      <c r="B112" s="1" t="s">
        <v>314</v>
      </c>
      <c r="C112" s="1" t="s">
        <v>163</v>
      </c>
      <c r="D112">
        <v>0.02</v>
      </c>
      <c r="F112" s="1" t="s">
        <v>78</v>
      </c>
    </row>
    <row r="113" spans="1:6" x14ac:dyDescent="0.35">
      <c r="A113" s="1" t="s">
        <v>315</v>
      </c>
      <c r="B113" s="1" t="s">
        <v>316</v>
      </c>
      <c r="C113" s="1" t="s">
        <v>240</v>
      </c>
      <c r="D113">
        <v>0.02</v>
      </c>
      <c r="F113" s="1" t="s">
        <v>78</v>
      </c>
    </row>
    <row r="114" spans="1:6" x14ac:dyDescent="0.35">
      <c r="A114" s="1" t="s">
        <v>317</v>
      </c>
      <c r="B114" s="1" t="s">
        <v>156</v>
      </c>
      <c r="C114" s="1" t="s">
        <v>318</v>
      </c>
      <c r="D114">
        <v>0.64</v>
      </c>
      <c r="F114" s="1" t="s">
        <v>78</v>
      </c>
    </row>
    <row r="115" spans="1:6" x14ac:dyDescent="0.35">
      <c r="A115" s="1" t="s">
        <v>319</v>
      </c>
      <c r="B115" s="1" t="s">
        <v>243</v>
      </c>
      <c r="C115" s="1" t="s">
        <v>173</v>
      </c>
      <c r="D115">
        <v>0.5</v>
      </c>
      <c r="E115">
        <v>-1</v>
      </c>
      <c r="F115" s="1" t="s">
        <v>320</v>
      </c>
    </row>
    <row r="116" spans="1:6" x14ac:dyDescent="0.35">
      <c r="A116" s="1" t="s">
        <v>321</v>
      </c>
      <c r="B116" s="1" t="s">
        <v>322</v>
      </c>
      <c r="C116" s="1" t="s">
        <v>323</v>
      </c>
      <c r="D116">
        <v>0.47</v>
      </c>
      <c r="F116" s="1"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2CDA-C0C1-467A-8B9D-449CA1660276}">
  <dimension ref="A3:B14"/>
  <sheetViews>
    <sheetView workbookViewId="0">
      <selection activeCell="N24" sqref="N24"/>
    </sheetView>
  </sheetViews>
  <sheetFormatPr defaultRowHeight="14.5" x14ac:dyDescent="0.35"/>
  <cols>
    <col min="1" max="1" width="12.6328125" bestFit="1" customWidth="1"/>
    <col min="2" max="2" width="18.54296875" bestFit="1" customWidth="1"/>
  </cols>
  <sheetData>
    <row r="3" spans="1:2" x14ac:dyDescent="0.35">
      <c r="A3" s="5" t="s">
        <v>393</v>
      </c>
      <c r="B3" t="s">
        <v>398</v>
      </c>
    </row>
    <row r="4" spans="1:2" x14ac:dyDescent="0.35">
      <c r="A4" s="6">
        <v>2.1</v>
      </c>
      <c r="B4" s="1">
        <v>3685</v>
      </c>
    </row>
    <row r="5" spans="1:2" x14ac:dyDescent="0.35">
      <c r="A5" s="6">
        <v>3</v>
      </c>
      <c r="B5" s="1">
        <v>8206</v>
      </c>
    </row>
    <row r="6" spans="1:2" x14ac:dyDescent="0.35">
      <c r="A6" s="6">
        <v>3.8</v>
      </c>
      <c r="B6" s="1">
        <v>5830</v>
      </c>
    </row>
    <row r="7" spans="1:2" x14ac:dyDescent="0.35">
      <c r="A7" s="6">
        <v>4</v>
      </c>
      <c r="B7" s="1">
        <v>5197</v>
      </c>
    </row>
    <row r="8" spans="1:2" x14ac:dyDescent="0.35">
      <c r="A8" s="6">
        <v>4.3</v>
      </c>
      <c r="B8" s="1">
        <v>4442</v>
      </c>
    </row>
    <row r="9" spans="1:2" x14ac:dyDescent="0.35">
      <c r="A9" s="6">
        <v>4.5</v>
      </c>
      <c r="B9" s="1">
        <v>5231</v>
      </c>
    </row>
    <row r="10" spans="1:2" x14ac:dyDescent="0.35">
      <c r="A10" s="6">
        <v>4.5999999999999996</v>
      </c>
      <c r="B10" s="1">
        <v>8935</v>
      </c>
    </row>
    <row r="11" spans="1:2" x14ac:dyDescent="0.35">
      <c r="A11" s="6">
        <v>4.7</v>
      </c>
      <c r="B11" s="1">
        <v>5490</v>
      </c>
    </row>
    <row r="12" spans="1:2" x14ac:dyDescent="0.35">
      <c r="A12" s="6">
        <v>5</v>
      </c>
      <c r="B12" s="1">
        <v>8962</v>
      </c>
    </row>
    <row r="13" spans="1:2" x14ac:dyDescent="0.35">
      <c r="A13" s="6"/>
      <c r="B13" s="1">
        <v>60760</v>
      </c>
    </row>
    <row r="14" spans="1:2" x14ac:dyDescent="0.35">
      <c r="A14" s="6" t="s">
        <v>395</v>
      </c>
      <c r="B14" s="1">
        <v>116738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A087-59F1-4415-B745-B04D97AB523E}">
  <dimension ref="A1:P125"/>
  <sheetViews>
    <sheetView workbookViewId="0">
      <pane ySplit="1" topLeftCell="A2" activePane="bottomLeft" state="frozen"/>
      <selection pane="bottomLeft" activeCell="A71" sqref="A71"/>
    </sheetView>
  </sheetViews>
  <sheetFormatPr defaultRowHeight="14.5" x14ac:dyDescent="0.35"/>
  <cols>
    <col min="1" max="1" width="69.54296875" customWidth="1"/>
    <col min="2" max="2" width="17.08984375" style="11" customWidth="1"/>
    <col min="3" max="3" width="15.7265625" customWidth="1"/>
    <col min="4" max="4" width="14.26953125" style="3" customWidth="1"/>
    <col min="5" max="5" width="17.7265625" style="3" customWidth="1"/>
    <col min="6" max="6" width="11.1796875" style="2" customWidth="1"/>
    <col min="7" max="7" width="18" style="2" customWidth="1"/>
    <col min="8" max="8" width="10.54296875" style="14" customWidth="1"/>
    <col min="9" max="9" width="10.6328125" customWidth="1"/>
    <col min="10" max="10" width="20.90625" customWidth="1"/>
  </cols>
  <sheetData>
    <row r="1" spans="1:16" s="8" customFormat="1" x14ac:dyDescent="0.35">
      <c r="A1" s="8" t="s">
        <v>0</v>
      </c>
      <c r="B1" s="10" t="s">
        <v>326</v>
      </c>
      <c r="C1" s="8" t="s">
        <v>403</v>
      </c>
      <c r="D1" s="12" t="s">
        <v>399</v>
      </c>
      <c r="E1" s="12" t="s">
        <v>400</v>
      </c>
      <c r="F1" s="9" t="s">
        <v>3</v>
      </c>
      <c r="G1" s="9" t="s">
        <v>401</v>
      </c>
      <c r="H1" s="13" t="s">
        <v>328</v>
      </c>
      <c r="I1" s="8" t="s">
        <v>329</v>
      </c>
      <c r="J1" s="8" t="s">
        <v>402</v>
      </c>
    </row>
    <row r="2" spans="1:16" x14ac:dyDescent="0.35">
      <c r="A2" t="s">
        <v>352</v>
      </c>
      <c r="B2" s="11">
        <v>1860</v>
      </c>
      <c r="C2" t="str">
        <f>IF(B2&lt;=500,"Low Price",IF(B2&lt;=1500,"Medium Price","High Price"))</f>
        <v>High Price</v>
      </c>
      <c r="D2" s="3">
        <v>3220</v>
      </c>
      <c r="E2" s="3">
        <f>D2-B2</f>
        <v>1360</v>
      </c>
      <c r="F2" s="2">
        <v>0.42</v>
      </c>
      <c r="G2" s="2" t="str">
        <f>IF(F2&lt;0.2,"Low Discount",IF(F2&gt;=0.4,"Medium Discount",IF(F2&gt;40,"High Discount","Medium Discount")))</f>
        <v>Medium Discount</v>
      </c>
      <c r="H2" s="14">
        <v>0</v>
      </c>
      <c r="I2" t="s">
        <v>78</v>
      </c>
      <c r="J2" t="str">
        <f>IF(I2&lt;3,"Poor",IF(I2&lt;=4,"Average",IF(I2&gt;4.5,"Excellent","Average")))</f>
        <v>Excellent</v>
      </c>
    </row>
    <row r="3" spans="1:16" x14ac:dyDescent="0.35">
      <c r="A3" t="s">
        <v>355</v>
      </c>
      <c r="B3" s="11">
        <v>2200</v>
      </c>
      <c r="C3" t="str">
        <f>IF(B3&lt;=500,"Low Price",IF(B3&lt;=1500,"Medium Price","High Price"))</f>
        <v>High Price</v>
      </c>
      <c r="D3" s="3">
        <v>4080</v>
      </c>
      <c r="E3" s="3">
        <f>D3-B3</f>
        <v>1880</v>
      </c>
      <c r="F3" s="2">
        <v>0.46</v>
      </c>
      <c r="G3" s="2" t="str">
        <f>IF(F3&lt;0.2,"Low Discount",IF(F3&gt;=0.4,"Medium Discount",IF(F3&gt;40,"High Discount","Medium Discount")))</f>
        <v>Medium Discount</v>
      </c>
      <c r="H3" s="14">
        <v>0</v>
      </c>
      <c r="I3" t="s">
        <v>78</v>
      </c>
      <c r="J3" t="str">
        <f>IF(I3&lt;3,"Poor",IF(I3&lt;=4,"Average",IF(I3&gt;4.5,"Excellent","Average")))</f>
        <v>Excellent</v>
      </c>
    </row>
    <row r="4" spans="1:16" x14ac:dyDescent="0.35">
      <c r="A4" t="s">
        <v>359</v>
      </c>
      <c r="B4" s="11">
        <v>2750</v>
      </c>
      <c r="C4" t="str">
        <f>IF(B4&lt;=500,"Low Price",IF(B4&lt;=1500,"Medium Price","High Price"))</f>
        <v>High Price</v>
      </c>
      <c r="D4" s="3">
        <v>4471</v>
      </c>
      <c r="E4" s="3">
        <f>D4-B4</f>
        <v>1721</v>
      </c>
      <c r="F4" s="2">
        <v>0.38</v>
      </c>
      <c r="G4" s="2" t="str">
        <f>IF(F4&lt;0.2,"Low Discount",IF(F4&gt;=0.4,"Medium Discount",IF(F4&gt;40,"High Discount","Medium Discount")))</f>
        <v>Medium Discount</v>
      </c>
      <c r="H4" s="14">
        <v>0</v>
      </c>
      <c r="I4" t="s">
        <v>78</v>
      </c>
      <c r="J4" t="str">
        <f>IF(I4&lt;3,"Poor",IF(I4&lt;=4,"Average",IF(I4&gt;4.5,"Excellent","Average")))</f>
        <v>Excellent</v>
      </c>
    </row>
    <row r="5" spans="1:16" ht="15.5" x14ac:dyDescent="0.35">
      <c r="A5" t="s">
        <v>132</v>
      </c>
      <c r="B5" s="11">
        <v>475</v>
      </c>
      <c r="C5" t="str">
        <f>IF(B5&lt;=500,"Low Price",IF(B5&lt;=1500,"Medium Price","High Price"))</f>
        <v>Low Price</v>
      </c>
      <c r="D5" s="3">
        <v>931</v>
      </c>
      <c r="E5" s="3">
        <f>D5-B5</f>
        <v>456</v>
      </c>
      <c r="F5" s="2">
        <v>0.49</v>
      </c>
      <c r="G5" s="2" t="str">
        <f>IF(F5&lt;0.2,"Low Discount",IF(F5&gt;=0.4,"Medium Discount",IF(F5&gt;40,"High Discount","Medium Discount")))</f>
        <v>Medium Discount</v>
      </c>
      <c r="H5" s="14">
        <v>0</v>
      </c>
      <c r="I5" t="s">
        <v>78</v>
      </c>
      <c r="J5" t="str">
        <f>IF(I5&lt;3,"Poor",IF(I5&lt;=4,"Average",IF(I5&gt;4.5,"Excellent","Average")))</f>
        <v>Excellent</v>
      </c>
      <c r="L5" s="15" t="s">
        <v>331</v>
      </c>
      <c r="M5" s="16"/>
      <c r="N5" s="16"/>
      <c r="O5" s="16"/>
      <c r="P5" s="16"/>
    </row>
    <row r="6" spans="1:16" x14ac:dyDescent="0.35">
      <c r="A6" t="s">
        <v>360</v>
      </c>
      <c r="B6" s="11">
        <v>238</v>
      </c>
      <c r="C6" t="str">
        <f>IF(B6&lt;=500,"Low Price",IF(B6&lt;=1500,"Medium Price","High Price"))</f>
        <v>Low Price</v>
      </c>
      <c r="D6" s="3">
        <v>476</v>
      </c>
      <c r="E6" s="3">
        <f>D6-B6</f>
        <v>238</v>
      </c>
      <c r="F6" s="2">
        <v>0.5</v>
      </c>
      <c r="G6" s="2" t="str">
        <f>IF(F6&lt;0.2,"Low Discount",IF(F6&gt;=0.4,"Medium Discount",IF(F6&gt;40,"High Discount","Medium Discount")))</f>
        <v>Medium Discount</v>
      </c>
      <c r="H6" s="14">
        <v>0</v>
      </c>
      <c r="I6" t="s">
        <v>78</v>
      </c>
      <c r="J6" t="str">
        <f>IF(I6&lt;3,"Poor",IF(I6&lt;=4,"Average",IF(I6&gt;4.5,"Excellent","Average")))</f>
        <v>Excellent</v>
      </c>
      <c r="L6" s="16" t="s">
        <v>324</v>
      </c>
      <c r="M6" s="16"/>
      <c r="N6" s="16"/>
      <c r="O6" s="16"/>
      <c r="P6" s="16">
        <f>COUNTA(D3:D1001)</f>
        <v>117</v>
      </c>
    </row>
    <row r="7" spans="1:16" x14ac:dyDescent="0.35">
      <c r="A7" t="s">
        <v>361</v>
      </c>
      <c r="B7" s="11">
        <v>610</v>
      </c>
      <c r="C7" t="str">
        <f>IF(B7&lt;=500,"Low Price",IF(B7&lt;=1500,"Medium Price","High Price"))</f>
        <v>Medium Price</v>
      </c>
      <c r="D7" s="3">
        <v>1060</v>
      </c>
      <c r="E7" s="3">
        <f>D7-B7</f>
        <v>450</v>
      </c>
      <c r="F7" s="2">
        <v>0.42</v>
      </c>
      <c r="G7" s="2" t="str">
        <f>IF(F7&lt;0.2,"Low Discount",IF(F7&gt;=0.4,"Medium Discount",IF(F7&gt;40,"High Discount","Medium Discount")))</f>
        <v>Medium Discount</v>
      </c>
      <c r="H7" s="14">
        <v>0</v>
      </c>
      <c r="I7" t="s">
        <v>78</v>
      </c>
      <c r="J7" t="str">
        <f>IF(I7&lt;3,"Poor",IF(I7&lt;=4,"Average",IF(I7&gt;4.5,"Excellent","Average")))</f>
        <v>Excellent</v>
      </c>
      <c r="L7" s="16" t="s">
        <v>325</v>
      </c>
      <c r="M7" s="16"/>
      <c r="N7" s="16"/>
      <c r="O7" s="16"/>
      <c r="P7" s="16">
        <f>COLUMNS(D2:L2)</f>
        <v>9</v>
      </c>
    </row>
    <row r="8" spans="1:16" x14ac:dyDescent="0.35">
      <c r="A8" t="s">
        <v>361</v>
      </c>
      <c r="B8" s="11">
        <v>610</v>
      </c>
      <c r="C8" t="str">
        <f>IF(B8&lt;=500,"Low Price",IF(B8&lt;=1500,"Medium Price","High Price"))</f>
        <v>Medium Price</v>
      </c>
      <c r="D8" s="3">
        <v>1060</v>
      </c>
      <c r="E8" s="3">
        <f>D8-B8</f>
        <v>450</v>
      </c>
      <c r="F8" s="2">
        <v>0.42</v>
      </c>
      <c r="G8" s="2" t="str">
        <f>IF(F8&lt;0.2,"Low Discount",IF(F8&gt;=0.4,"Medium Discount",IF(F8&gt;40,"High Discount","Medium Discount")))</f>
        <v>Medium Discount</v>
      </c>
      <c r="H8" s="14">
        <v>0</v>
      </c>
      <c r="I8" t="s">
        <v>78</v>
      </c>
      <c r="J8" t="str">
        <f>IF(I8&lt;3,"Poor",IF(I8&lt;=4,"Average",IF(I8&gt;4.5,"Excellent","Average")))</f>
        <v>Excellent</v>
      </c>
      <c r="L8" s="16"/>
      <c r="M8" s="16"/>
      <c r="N8" s="16"/>
      <c r="O8" s="16"/>
      <c r="P8" s="16"/>
    </row>
    <row r="9" spans="1:16" x14ac:dyDescent="0.35">
      <c r="A9" t="s">
        <v>141</v>
      </c>
      <c r="B9" s="11">
        <v>2132</v>
      </c>
      <c r="C9" t="str">
        <f>IF(B9&lt;=500,"Low Price",IF(B9&lt;=1500,"Medium Price","High Price"))</f>
        <v>High Price</v>
      </c>
      <c r="D9" s="3">
        <v>2169</v>
      </c>
      <c r="E9" s="3">
        <f>D9-B9</f>
        <v>37</v>
      </c>
      <c r="F9" s="2">
        <v>0.02</v>
      </c>
      <c r="G9" s="2" t="str">
        <f>IF(F9&lt;0.2,"Low Discount",IF(F9&gt;=0.4,"Medium Discount",IF(F9&gt;40,"High Discount","Medium Discount")))</f>
        <v>Low Discount</v>
      </c>
      <c r="H9" s="14">
        <v>0</v>
      </c>
      <c r="I9" t="s">
        <v>78</v>
      </c>
      <c r="J9" t="str">
        <f>IF(I9&lt;3,"Poor",IF(I9&lt;=4,"Average",IF(I9&gt;4.5,"Excellent","Average")))</f>
        <v>Excellent</v>
      </c>
      <c r="L9" s="16"/>
      <c r="M9" s="16"/>
      <c r="N9" s="16"/>
      <c r="O9" s="16"/>
      <c r="P9" s="16"/>
    </row>
    <row r="10" spans="1:16" x14ac:dyDescent="0.35">
      <c r="A10" t="s">
        <v>144</v>
      </c>
      <c r="B10" s="11">
        <v>999</v>
      </c>
      <c r="C10" t="str">
        <f>IF(B10&lt;=500,"Low Price",IF(B10&lt;=1500,"Medium Price","High Price"))</f>
        <v>Medium Price</v>
      </c>
      <c r="D10" s="3">
        <v>2000</v>
      </c>
      <c r="E10" s="3">
        <f>D10-B10</f>
        <v>1001</v>
      </c>
      <c r="F10" s="2">
        <v>0.5</v>
      </c>
      <c r="G10" s="2" t="str">
        <f>IF(F10&lt;0.2,"Low Discount",IF(F10&gt;=0.4,"Medium Discount",IF(F10&gt;40,"High Discount","Medium Discount")))</f>
        <v>Medium Discount</v>
      </c>
      <c r="H10" s="14">
        <v>0</v>
      </c>
      <c r="I10" t="s">
        <v>78</v>
      </c>
      <c r="J10" t="str">
        <f>IF(I10&lt;3,"Poor",IF(I10&lt;=4,"Average",IF(I10&gt;4.5,"Excellent","Average")))</f>
        <v>Excellent</v>
      </c>
      <c r="L10" s="17" t="s">
        <v>330</v>
      </c>
      <c r="M10" s="16"/>
      <c r="N10" s="16"/>
      <c r="O10" s="16"/>
      <c r="P10" s="16"/>
    </row>
    <row r="11" spans="1:16" x14ac:dyDescent="0.35">
      <c r="A11" t="s">
        <v>146</v>
      </c>
      <c r="B11" s="11">
        <v>1190</v>
      </c>
      <c r="C11" t="str">
        <f>IF(B11&lt;=500,"Low Price",IF(B11&lt;=1500,"Medium Price","High Price"))</f>
        <v>Medium Price</v>
      </c>
      <c r="D11" s="3">
        <v>1785</v>
      </c>
      <c r="E11" s="3">
        <f>D11-B11</f>
        <v>595</v>
      </c>
      <c r="F11" s="2">
        <v>0.33</v>
      </c>
      <c r="G11" s="2" t="str">
        <f>IF(F11&lt;0.2,"Low Discount",IF(F11&gt;=0.4,"Medium Discount",IF(F11&gt;40,"High Discount","Medium Discount")))</f>
        <v>Medium Discount</v>
      </c>
      <c r="H11" s="14">
        <v>0</v>
      </c>
      <c r="I11" t="s">
        <v>78</v>
      </c>
      <c r="J11" t="str">
        <f>IF(I11&lt;3,"Poor",IF(I11&lt;=4,"Average",IF(I11&gt;4.5,"Excellent","Average")))</f>
        <v>Excellent</v>
      </c>
      <c r="L11" s="16" t="s">
        <v>0</v>
      </c>
      <c r="M11" s="16"/>
      <c r="N11" s="16"/>
      <c r="O11" s="16"/>
      <c r="P11" s="16">
        <f>COUNTBLANK(D3:D117)</f>
        <v>1</v>
      </c>
    </row>
    <row r="12" spans="1:16" x14ac:dyDescent="0.35">
      <c r="A12" t="s">
        <v>149</v>
      </c>
      <c r="B12" s="11">
        <v>671</v>
      </c>
      <c r="C12" t="str">
        <f>IF(B12&lt;=500,"Low Price",IF(B12&lt;=1500,"Medium Price","High Price"))</f>
        <v>Medium Price</v>
      </c>
      <c r="D12" s="3">
        <v>1316</v>
      </c>
      <c r="E12" s="3">
        <f>D12-B12</f>
        <v>645</v>
      </c>
      <c r="F12" s="2">
        <v>0.49</v>
      </c>
      <c r="G12" s="2" t="str">
        <f>IF(F12&lt;0.2,"Low Discount",IF(F12&gt;=0.4,"Medium Discount",IF(F12&gt;40,"High Discount","Medium Discount")))</f>
        <v>Medium Discount</v>
      </c>
      <c r="H12" s="14">
        <v>0</v>
      </c>
      <c r="I12" t="s">
        <v>78</v>
      </c>
      <c r="J12" t="str">
        <f>IF(I12&lt;3,"Poor",IF(I12&lt;=4,"Average",IF(I12&gt;4.5,"Excellent","Average")))</f>
        <v>Excellent</v>
      </c>
      <c r="L12" s="16" t="s">
        <v>326</v>
      </c>
      <c r="M12" s="16"/>
      <c r="N12" s="16"/>
      <c r="O12" s="16"/>
      <c r="P12" s="16">
        <f>COUNTBLANK(E3:E117)</f>
        <v>0</v>
      </c>
    </row>
    <row r="13" spans="1:16" x14ac:dyDescent="0.35">
      <c r="A13" t="s">
        <v>362</v>
      </c>
      <c r="B13" s="11">
        <v>1200</v>
      </c>
      <c r="C13" t="str">
        <f>IF(B13&lt;=500,"Low Price",IF(B13&lt;=1500,"Medium Price","High Price"))</f>
        <v>Medium Price</v>
      </c>
      <c r="D13" s="3">
        <v>1950</v>
      </c>
      <c r="E13" s="3">
        <f>D13-B13</f>
        <v>750</v>
      </c>
      <c r="F13" s="2">
        <v>0.38</v>
      </c>
      <c r="G13" s="2" t="str">
        <f>IF(F13&lt;0.2,"Low Discount",IF(F13&gt;=0.4,"Medium Discount",IF(F13&gt;40,"High Discount","Medium Discount")))</f>
        <v>Medium Discount</v>
      </c>
      <c r="H13" s="14">
        <v>0</v>
      </c>
      <c r="I13" t="s">
        <v>78</v>
      </c>
      <c r="J13" t="str">
        <f>IF(I13&lt;3,"Poor",IF(I13&lt;=4,"Average",IF(I13&gt;4.5,"Excellent","Average")))</f>
        <v>Excellent</v>
      </c>
      <c r="L13" s="16" t="s">
        <v>327</v>
      </c>
      <c r="M13" s="16"/>
      <c r="N13" s="16"/>
      <c r="O13" s="16"/>
      <c r="P13" s="16">
        <f>COUNTBLANK(F3:F117)</f>
        <v>0</v>
      </c>
    </row>
    <row r="14" spans="1:16" x14ac:dyDescent="0.35">
      <c r="A14" t="s">
        <v>155</v>
      </c>
      <c r="B14" s="11">
        <v>199</v>
      </c>
      <c r="C14" t="str">
        <f>IF(B14&lt;=500,"Low Price",IF(B14&lt;=1500,"Medium Price","High Price"))</f>
        <v>Low Price</v>
      </c>
      <c r="D14" s="3">
        <v>504</v>
      </c>
      <c r="E14" s="3">
        <f>D14-B14</f>
        <v>305</v>
      </c>
      <c r="F14" s="2">
        <v>0.61</v>
      </c>
      <c r="G14" s="2" t="str">
        <f>IF(F14&lt;0.2,"Low Discount",IF(F14&gt;=0.4,"Medium Discount",IF(F14&gt;40,"High Discount","Medium Discount")))</f>
        <v>Medium Discount</v>
      </c>
      <c r="H14" s="14">
        <v>0</v>
      </c>
      <c r="I14" t="s">
        <v>78</v>
      </c>
      <c r="J14" t="str">
        <f>IF(I14&lt;3,"Poor",IF(I14&lt;=4,"Average",IF(I14&gt;4.5,"Excellent","Average")))</f>
        <v>Excellent</v>
      </c>
      <c r="L14" s="16" t="s">
        <v>3</v>
      </c>
      <c r="M14" s="16"/>
      <c r="N14" s="16"/>
      <c r="O14" s="16"/>
      <c r="P14" s="16">
        <f>COUNTBLANK(I3:I117)</f>
        <v>58</v>
      </c>
    </row>
    <row r="15" spans="1:16" x14ac:dyDescent="0.35">
      <c r="A15" t="s">
        <v>158</v>
      </c>
      <c r="B15" s="11">
        <v>299</v>
      </c>
      <c r="C15" t="str">
        <f>IF(B15&lt;=500,"Low Price",IF(B15&lt;=1500,"Medium Price","High Price"))</f>
        <v>Low Price</v>
      </c>
      <c r="D15" s="3">
        <v>600</v>
      </c>
      <c r="E15" s="3">
        <f>D15-B15</f>
        <v>301</v>
      </c>
      <c r="F15" s="2">
        <v>0.5</v>
      </c>
      <c r="G15" s="2" t="str">
        <f>IF(F15&lt;0.2,"Low Discount",IF(F15&gt;=0.4,"Medium Discount",IF(F15&gt;40,"High Discount","Medium Discount")))</f>
        <v>Medium Discount</v>
      </c>
      <c r="H15" s="14">
        <v>0</v>
      </c>
      <c r="I15" t="s">
        <v>78</v>
      </c>
      <c r="J15" t="str">
        <f>IF(I15&lt;3,"Poor",IF(I15&lt;=4,"Average",IF(I15&gt;4.5,"Excellent","Average")))</f>
        <v>Excellent</v>
      </c>
      <c r="L15" s="16" t="s">
        <v>328</v>
      </c>
      <c r="M15" s="16"/>
      <c r="N15" s="16"/>
      <c r="O15" s="16"/>
      <c r="P15" s="16">
        <f>COUNTBLANK(J3:J117)</f>
        <v>0</v>
      </c>
    </row>
    <row r="16" spans="1:16" x14ac:dyDescent="0.35">
      <c r="A16" t="s">
        <v>161</v>
      </c>
      <c r="B16" s="11">
        <v>1660</v>
      </c>
      <c r="C16" t="str">
        <f>IF(B16&lt;=500,"Low Price",IF(B16&lt;=1500,"Medium Price","High Price"))</f>
        <v>High Price</v>
      </c>
      <c r="D16" s="3">
        <v>1699</v>
      </c>
      <c r="E16" s="3">
        <f>D16-B16</f>
        <v>39</v>
      </c>
      <c r="F16" s="2">
        <v>0.02</v>
      </c>
      <c r="G16" s="2" t="str">
        <f>IF(F16&lt;0.2,"Low Discount",IF(F16&gt;=0.4,"Medium Discount",IF(F16&gt;40,"High Discount","Medium Discount")))</f>
        <v>Low Discount</v>
      </c>
      <c r="H16" s="14">
        <v>0</v>
      </c>
      <c r="I16" t="s">
        <v>78</v>
      </c>
      <c r="J16" t="str">
        <f>IF(I16&lt;3,"Poor",IF(I16&lt;=4,"Average",IF(I16&gt;4.5,"Excellent","Average")))</f>
        <v>Excellent</v>
      </c>
      <c r="L16" s="16" t="s">
        <v>329</v>
      </c>
      <c r="M16" s="16"/>
      <c r="N16" s="16"/>
      <c r="O16" s="16"/>
      <c r="P16" s="16">
        <f>COUNTBLANK(L3:L117)</f>
        <v>94</v>
      </c>
    </row>
    <row r="17" spans="1:16" x14ac:dyDescent="0.35">
      <c r="A17" t="s">
        <v>164</v>
      </c>
      <c r="B17" s="11">
        <v>299</v>
      </c>
      <c r="C17" t="str">
        <f>IF(B17&lt;=500,"Low Price",IF(B17&lt;=1500,"Medium Price","High Price"))</f>
        <v>Low Price</v>
      </c>
      <c r="D17" s="3">
        <v>384</v>
      </c>
      <c r="E17" s="3">
        <f>D17-B17</f>
        <v>85</v>
      </c>
      <c r="F17" s="2">
        <v>0.22</v>
      </c>
      <c r="G17" s="2" t="str">
        <f>IF(F17&lt;0.2,"Low Discount",IF(F17&gt;=0.4,"Medium Discount",IF(F17&gt;40,"High Discount","Medium Discount")))</f>
        <v>Medium Discount</v>
      </c>
      <c r="H17" s="14">
        <v>0</v>
      </c>
      <c r="I17" t="s">
        <v>78</v>
      </c>
      <c r="J17" t="str">
        <f>IF(I17&lt;3,"Poor",IF(I17&lt;=4,"Average",IF(I17&gt;4.5,"Excellent","Average")))</f>
        <v>Excellent</v>
      </c>
      <c r="L17" s="16"/>
      <c r="M17" s="16"/>
      <c r="N17" s="16"/>
      <c r="O17" s="16"/>
      <c r="P17" s="16"/>
    </row>
    <row r="18" spans="1:16" x14ac:dyDescent="0.35">
      <c r="A18" t="s">
        <v>363</v>
      </c>
      <c r="B18" s="11">
        <v>1459</v>
      </c>
      <c r="C18" t="str">
        <f>IF(B18&lt;=500,"Low Price",IF(B18&lt;=1500,"Medium Price","High Price"))</f>
        <v>Medium Price</v>
      </c>
      <c r="D18" s="3">
        <v>1499</v>
      </c>
      <c r="E18" s="3">
        <f>D18-B18</f>
        <v>40</v>
      </c>
      <c r="F18" s="2">
        <v>0.03</v>
      </c>
      <c r="G18" s="2" t="str">
        <f>IF(F18&lt;0.2,"Low Discount",IF(F18&gt;=0.4,"Medium Discount",IF(F18&gt;40,"High Discount","Medium Discount")))</f>
        <v>Low Discount</v>
      </c>
      <c r="H18" s="14">
        <v>0</v>
      </c>
      <c r="I18" t="s">
        <v>78</v>
      </c>
      <c r="J18" t="str">
        <f>IF(I18&lt;3,"Poor",IF(I18&lt;=4,"Average",IF(I18&gt;4.5,"Excellent","Average")))</f>
        <v>Excellent</v>
      </c>
      <c r="L18" s="16"/>
      <c r="M18" s="16"/>
      <c r="N18" s="16"/>
      <c r="O18" s="16"/>
      <c r="P18" s="16"/>
    </row>
    <row r="19" spans="1:16" ht="18.5" x14ac:dyDescent="0.45">
      <c r="A19" t="s">
        <v>169</v>
      </c>
      <c r="B19" s="11">
        <v>799</v>
      </c>
      <c r="C19" t="str">
        <f>IF(B19&lt;=500,"Low Price",IF(B19&lt;=1500,"Medium Price","High Price"))</f>
        <v>Medium Price</v>
      </c>
      <c r="D19" s="3">
        <v>1343</v>
      </c>
      <c r="E19" s="3">
        <f>D19-B19</f>
        <v>544</v>
      </c>
      <c r="F19" s="2">
        <v>0.41</v>
      </c>
      <c r="G19" s="2" t="str">
        <f>IF(F19&lt;0.2,"Low Discount",IF(F19&gt;=0.4,"Medium Discount",IF(F19&gt;40,"High Discount","Medium Discount")))</f>
        <v>Medium Discount</v>
      </c>
      <c r="H19" s="14">
        <v>0</v>
      </c>
      <c r="I19" t="s">
        <v>78</v>
      </c>
      <c r="J19" t="str">
        <f>IF(I19&lt;3,"Poor",IF(I19&lt;=4,"Average",IF(I19&gt;4.5,"Excellent","Average")))</f>
        <v>Excellent</v>
      </c>
      <c r="L19" s="18" t="s">
        <v>332</v>
      </c>
      <c r="M19" s="16"/>
      <c r="N19" s="16"/>
      <c r="O19" s="16"/>
      <c r="P19" s="16"/>
    </row>
    <row r="20" spans="1:16" x14ac:dyDescent="0.35">
      <c r="A20" t="s">
        <v>171</v>
      </c>
      <c r="B20" s="11">
        <v>499</v>
      </c>
      <c r="C20" t="str">
        <f>IF(B20&lt;=500,"Low Price",IF(B20&lt;=1500,"Medium Price","High Price"))</f>
        <v>Low Price</v>
      </c>
      <c r="D20" s="3">
        <v>900</v>
      </c>
      <c r="E20" s="3">
        <f>D20-B20</f>
        <v>401</v>
      </c>
      <c r="F20" s="2">
        <v>0.45</v>
      </c>
      <c r="G20" s="2" t="str">
        <f>IF(F20&lt;0.2,"Low Discount",IF(F20&gt;=0.4,"Medium Discount",IF(F20&gt;40,"High Discount","Medium Discount")))</f>
        <v>Medium Discount</v>
      </c>
      <c r="H20" s="14">
        <v>0</v>
      </c>
      <c r="I20" t="s">
        <v>78</v>
      </c>
      <c r="J20" t="str">
        <f>IF(I20&lt;3,"Poor",IF(I20&lt;=4,"Average",IF(I20&gt;4.5,"Excellent","Average")))</f>
        <v>Excellent</v>
      </c>
      <c r="L20" s="16" t="s">
        <v>325</v>
      </c>
      <c r="M20" s="16"/>
      <c r="N20" s="16"/>
      <c r="O20" s="16"/>
      <c r="P20" s="16"/>
    </row>
    <row r="21" spans="1:16" x14ac:dyDescent="0.35">
      <c r="A21" t="s">
        <v>174</v>
      </c>
      <c r="B21" s="11">
        <v>699</v>
      </c>
      <c r="C21" t="str">
        <f>IF(B21&lt;=500,"Low Price",IF(B21&lt;=1500,"Medium Price","High Price"))</f>
        <v>Medium Price</v>
      </c>
      <c r="D21" s="3">
        <v>1343</v>
      </c>
      <c r="E21" s="3">
        <f>D21-B21</f>
        <v>644</v>
      </c>
      <c r="F21" s="2">
        <v>0.48</v>
      </c>
      <c r="G21" s="2" t="str">
        <f>IF(F21&lt;0.2,"Low Discount",IF(F21&gt;=0.4,"Medium Discount",IF(F21&gt;40,"High Discount","Medium Discount")))</f>
        <v>Medium Discount</v>
      </c>
      <c r="H21" s="14">
        <v>0</v>
      </c>
      <c r="I21" t="s">
        <v>78</v>
      </c>
      <c r="J21" t="str">
        <f>IF(I21&lt;3,"Poor",IF(I21&lt;=4,"Average",IF(I21&gt;4.5,"Excellent","Average")))</f>
        <v>Excellent</v>
      </c>
      <c r="L21" s="16"/>
      <c r="M21" s="16"/>
      <c r="N21" s="16"/>
      <c r="O21" s="16"/>
      <c r="P21" s="16"/>
    </row>
    <row r="22" spans="1:16" x14ac:dyDescent="0.35">
      <c r="A22" t="s">
        <v>176</v>
      </c>
      <c r="B22" s="11">
        <v>799</v>
      </c>
      <c r="C22" t="str">
        <f>IF(B22&lt;=500,"Low Price",IF(B22&lt;=1500,"Medium Price","High Price"))</f>
        <v>Medium Price</v>
      </c>
      <c r="D22" s="3">
        <v>1567</v>
      </c>
      <c r="E22" s="3">
        <f>D22-B22</f>
        <v>768</v>
      </c>
      <c r="F22" s="2">
        <v>0.49</v>
      </c>
      <c r="G22" s="2" t="str">
        <f>IF(F22&lt;0.2,"Low Discount",IF(F22&gt;=0.4,"Medium Discount",IF(F22&gt;40,"High Discount","Medium Discount")))</f>
        <v>Medium Discount</v>
      </c>
      <c r="H22" s="14">
        <v>0</v>
      </c>
      <c r="I22" t="s">
        <v>78</v>
      </c>
      <c r="J22" t="str">
        <f>IF(I22&lt;3,"Poor",IF(I22&lt;=4,"Average",IF(I22&gt;4.5,"Excellent","Average")))</f>
        <v>Excellent</v>
      </c>
      <c r="L22" s="16"/>
      <c r="M22" s="16"/>
      <c r="N22" s="16"/>
      <c r="O22" s="16"/>
      <c r="P22" s="16"/>
    </row>
    <row r="23" spans="1:16" x14ac:dyDescent="0.35">
      <c r="A23" t="s">
        <v>364</v>
      </c>
      <c r="B23" s="11">
        <v>2799</v>
      </c>
      <c r="C23" t="str">
        <f>IF(B23&lt;=500,"Low Price",IF(B23&lt;=1500,"Medium Price","High Price"))</f>
        <v>High Price</v>
      </c>
      <c r="D23" s="3">
        <v>3810</v>
      </c>
      <c r="E23" s="3">
        <f>D23-B23</f>
        <v>1011</v>
      </c>
      <c r="F23" s="2">
        <v>0.27</v>
      </c>
      <c r="G23" s="2" t="str">
        <f>IF(F23&lt;0.2,"Low Discount",IF(F23&gt;=0.4,"Medium Discount",IF(F23&gt;40,"High Discount","Medium Discount")))</f>
        <v>Medium Discount</v>
      </c>
      <c r="H23" s="14">
        <v>0</v>
      </c>
      <c r="I23" t="s">
        <v>78</v>
      </c>
      <c r="J23" t="str">
        <f>IF(I23&lt;3,"Poor",IF(I23&lt;=4,"Average",IF(I23&gt;4.5,"Excellent","Average")))</f>
        <v>Excellent</v>
      </c>
      <c r="L23" s="16"/>
      <c r="M23" s="16"/>
      <c r="N23" s="16"/>
      <c r="O23" s="16"/>
      <c r="P23" s="16"/>
    </row>
    <row r="24" spans="1:16" x14ac:dyDescent="0.35">
      <c r="A24" t="s">
        <v>171</v>
      </c>
      <c r="B24" s="11">
        <v>399</v>
      </c>
      <c r="C24" t="str">
        <f>IF(B24&lt;=500,"Low Price",IF(B24&lt;=1500,"Medium Price","High Price"))</f>
        <v>Low Price</v>
      </c>
      <c r="D24" s="3">
        <v>896</v>
      </c>
      <c r="E24" s="3">
        <f>D24-B24</f>
        <v>497</v>
      </c>
      <c r="F24" s="2">
        <v>0.55000000000000004</v>
      </c>
      <c r="G24" s="2" t="str">
        <f>IF(F24&lt;0.2,"Low Discount",IF(F24&gt;=0.4,"Medium Discount",IF(F24&gt;40,"High Discount","Medium Discount")))</f>
        <v>Medium Discount</v>
      </c>
      <c r="H24" s="14">
        <v>0</v>
      </c>
      <c r="I24" t="s">
        <v>78</v>
      </c>
      <c r="J24" t="str">
        <f>IF(I24&lt;3,"Poor",IF(I24&lt;=4,"Average",IF(I24&gt;4.5,"Excellent","Average")))</f>
        <v>Excellent</v>
      </c>
      <c r="L24" s="16"/>
      <c r="M24" s="16"/>
      <c r="N24" s="16"/>
      <c r="O24" s="16"/>
      <c r="P24" s="16"/>
    </row>
    <row r="25" spans="1:16" x14ac:dyDescent="0.35">
      <c r="A25" t="s">
        <v>375</v>
      </c>
      <c r="B25" s="11">
        <v>790</v>
      </c>
      <c r="C25" t="str">
        <f>IF(B25&lt;=500,"Low Price",IF(B25&lt;=1500,"Medium Price","High Price"))</f>
        <v>Medium Price</v>
      </c>
      <c r="D25" s="3">
        <v>1485</v>
      </c>
      <c r="E25" s="3">
        <f>D25-B25</f>
        <v>695</v>
      </c>
      <c r="F25" s="2">
        <v>0.47</v>
      </c>
      <c r="G25" s="2" t="str">
        <f>IF(F25&lt;0.2,"Low Discount",IF(F25&gt;=0.4,"Medium Discount",IF(F25&gt;40,"High Discount","Medium Discount")))</f>
        <v>Medium Discount</v>
      </c>
      <c r="H25" s="14">
        <v>0</v>
      </c>
      <c r="I25" t="s">
        <v>78</v>
      </c>
      <c r="J25" t="str">
        <f>IF(I25&lt;3,"Poor",IF(I25&lt;=4,"Average",IF(I25&gt;4.5,"Excellent","Average")))</f>
        <v>Excellent</v>
      </c>
      <c r="L25" s="16"/>
      <c r="M25" s="16"/>
      <c r="N25" s="16"/>
      <c r="O25" s="16"/>
      <c r="P25" s="16"/>
    </row>
    <row r="26" spans="1:16" x14ac:dyDescent="0.35">
      <c r="A26" t="s">
        <v>376</v>
      </c>
      <c r="B26" s="11">
        <v>690</v>
      </c>
      <c r="C26" t="str">
        <f>IF(B26&lt;=500,"Low Price",IF(B26&lt;=1500,"Medium Price","High Price"))</f>
        <v>Medium Price</v>
      </c>
      <c r="D26" s="3">
        <v>1200</v>
      </c>
      <c r="E26" s="3">
        <f>D26-B26</f>
        <v>510</v>
      </c>
      <c r="F26" s="2">
        <v>0.43</v>
      </c>
      <c r="G26" s="2" t="str">
        <f>IF(F26&lt;0.2,"Low Discount",IF(F26&gt;=0.4,"Medium Discount",IF(F26&gt;40,"High Discount","Medium Discount")))</f>
        <v>Medium Discount</v>
      </c>
      <c r="H26" s="14">
        <v>0</v>
      </c>
      <c r="I26" t="s">
        <v>78</v>
      </c>
      <c r="J26" t="str">
        <f>IF(I26&lt;3,"Poor",IF(I26&lt;=4,"Average",IF(I26&gt;4.5,"Excellent","Average")))</f>
        <v>Excellent</v>
      </c>
      <c r="L26" s="17" t="s">
        <v>333</v>
      </c>
      <c r="M26" s="16"/>
      <c r="N26" s="16"/>
      <c r="O26" s="16"/>
      <c r="P26" s="16"/>
    </row>
    <row r="27" spans="1:16" x14ac:dyDescent="0.35">
      <c r="A27" t="s">
        <v>238</v>
      </c>
      <c r="B27" s="11">
        <v>1732</v>
      </c>
      <c r="C27" t="str">
        <f>IF(B27&lt;=500,"Low Price",IF(B27&lt;=1500,"Medium Price","High Price"))</f>
        <v>High Price</v>
      </c>
      <c r="D27" s="3">
        <v>1799</v>
      </c>
      <c r="E27" s="3">
        <f>D27-B27</f>
        <v>67</v>
      </c>
      <c r="F27" s="2">
        <v>0.04</v>
      </c>
      <c r="G27" s="2" t="str">
        <f>IF(F27&lt;0.2,"Low Discount",IF(F27&gt;=0.4,"Medium Discount",IF(F27&gt;40,"High Discount","Medium Discount")))</f>
        <v>Low Discount</v>
      </c>
      <c r="H27" s="14">
        <v>0</v>
      </c>
      <c r="I27" t="s">
        <v>78</v>
      </c>
      <c r="J27" t="str">
        <f>IF(I27&lt;3,"Poor",IF(I27&lt;=4,"Average",IF(I27&gt;4.5,"Excellent","Average")))</f>
        <v>Excellent</v>
      </c>
      <c r="L27" s="16"/>
      <c r="M27" s="16"/>
      <c r="N27" s="16"/>
      <c r="O27" s="16"/>
      <c r="P27" s="16"/>
    </row>
    <row r="28" spans="1:16" x14ac:dyDescent="0.35">
      <c r="A28" t="s">
        <v>377</v>
      </c>
      <c r="B28" s="11">
        <v>230</v>
      </c>
      <c r="C28" t="str">
        <f>IF(B28&lt;=500,"Low Price",IF(B28&lt;=1500,"Medium Price","High Price"))</f>
        <v>Low Price</v>
      </c>
      <c r="D28" s="3">
        <v>450</v>
      </c>
      <c r="E28" s="3">
        <f>D28-B28</f>
        <v>220</v>
      </c>
      <c r="F28" s="2">
        <v>0.49</v>
      </c>
      <c r="G28" s="2" t="str">
        <f>IF(F28&lt;0.2,"Low Discount",IF(F28&gt;=0.4,"Medium Discount",IF(F28&gt;40,"High Discount","Medium Discount")))</f>
        <v>Medium Discount</v>
      </c>
      <c r="H28" s="14">
        <v>0</v>
      </c>
      <c r="I28" t="s">
        <v>78</v>
      </c>
      <c r="J28" t="str">
        <f>IF(I28&lt;3,"Poor",IF(I28&lt;=4,"Average",IF(I28&gt;4.5,"Excellent","Average")))</f>
        <v>Excellent</v>
      </c>
      <c r="L28" s="16" t="s">
        <v>334</v>
      </c>
      <c r="M28" s="16"/>
      <c r="N28" s="16"/>
      <c r="O28" s="16"/>
      <c r="P28" s="16" cm="1">
        <f t="array" ref="P28">SUMPRODUCT(-NOT(ISNUMBER(I3:I117)))</f>
        <v>-58</v>
      </c>
    </row>
    <row r="29" spans="1:16" x14ac:dyDescent="0.35">
      <c r="A29" t="s">
        <v>379</v>
      </c>
      <c r="B29" s="11">
        <v>1460</v>
      </c>
      <c r="C29" t="str">
        <f>IF(B29&lt;=500,"Low Price",IF(B29&lt;=1500,"Medium Price","High Price"))</f>
        <v>Medium Price</v>
      </c>
      <c r="D29" s="3">
        <v>2290</v>
      </c>
      <c r="E29" s="3">
        <f>D29-B29</f>
        <v>830</v>
      </c>
      <c r="F29" s="2">
        <v>0.36</v>
      </c>
      <c r="G29" s="2" t="str">
        <f>IF(F29&lt;0.2,"Low Discount",IF(F29&gt;=0.4,"Medium Discount",IF(F29&gt;40,"High Discount","Medium Discount")))</f>
        <v>Medium Discount</v>
      </c>
      <c r="H29" s="14">
        <v>0</v>
      </c>
      <c r="I29" t="s">
        <v>78</v>
      </c>
      <c r="J29" t="str">
        <f>IF(I29&lt;3,"Poor",IF(I29&lt;=4,"Average",IF(I29&gt;4.5,"Excellent","Average")))</f>
        <v>Excellent</v>
      </c>
      <c r="L29" s="16" t="s">
        <v>337</v>
      </c>
      <c r="M29" s="16"/>
      <c r="N29" s="16"/>
      <c r="O29" s="16"/>
      <c r="P29" s="16" cm="1">
        <f t="array" ref="P29">SUMPRODUCT(--NOT(ISNUMBER(L3:L117)))</f>
        <v>115</v>
      </c>
    </row>
    <row r="30" spans="1:16" x14ac:dyDescent="0.35">
      <c r="A30" t="s">
        <v>252</v>
      </c>
      <c r="B30" s="11">
        <v>1666</v>
      </c>
      <c r="C30" t="str">
        <f>IF(B30&lt;=500,"Low Price",IF(B30&lt;=1500,"Medium Price","High Price"))</f>
        <v>High Price</v>
      </c>
      <c r="D30" s="3">
        <v>1699</v>
      </c>
      <c r="E30" s="3">
        <f>D30-B30</f>
        <v>33</v>
      </c>
      <c r="F30" s="2">
        <v>0.02</v>
      </c>
      <c r="G30" s="2" t="str">
        <f>IF(F30&lt;0.2,"Low Discount",IF(F30&gt;=0.4,"Medium Discount",IF(F30&gt;40,"High Discount","Medium Discount")))</f>
        <v>Low Discount</v>
      </c>
      <c r="H30" s="14">
        <v>0</v>
      </c>
      <c r="I30" t="s">
        <v>78</v>
      </c>
      <c r="J30" t="str">
        <f>IF(I30&lt;3,"Poor",IF(I30&lt;=4,"Average",IF(I30&gt;4.5,"Excellent","Average")))</f>
        <v>Excellent</v>
      </c>
      <c r="L30" s="16" t="s">
        <v>335</v>
      </c>
      <c r="M30" s="16"/>
      <c r="N30" s="16"/>
      <c r="O30" s="16"/>
      <c r="P30" s="16" cm="1">
        <f t="array" ref="P30">SUMPRODUCT(--NOT(ISNUMBER(J3:J117)))</f>
        <v>115</v>
      </c>
    </row>
    <row r="31" spans="1:16" x14ac:dyDescent="0.35">
      <c r="A31" t="s">
        <v>361</v>
      </c>
      <c r="B31" s="11">
        <v>610</v>
      </c>
      <c r="C31" t="str">
        <f>IF(B31&lt;=500,"Low Price",IF(B31&lt;=1500,"Medium Price","High Price"))</f>
        <v>Medium Price</v>
      </c>
      <c r="D31" s="3">
        <v>1060</v>
      </c>
      <c r="E31" s="3">
        <f>D31-B31</f>
        <v>450</v>
      </c>
      <c r="F31" s="2">
        <v>0.42</v>
      </c>
      <c r="G31" s="2" t="str">
        <f>IF(F31&lt;0.2,"Low Discount",IF(F31&gt;=0.4,"Medium Discount",IF(F31&gt;40,"High Discount","Medium Discount")))</f>
        <v>Medium Discount</v>
      </c>
      <c r="H31" s="14">
        <v>0</v>
      </c>
      <c r="I31" t="s">
        <v>78</v>
      </c>
      <c r="J31" t="str">
        <f>IF(I31&lt;3,"Poor",IF(I31&lt;=4,"Average",IF(I31&gt;4.5,"Excellent","Average")))</f>
        <v>Excellent</v>
      </c>
      <c r="L31" s="16" t="s">
        <v>336</v>
      </c>
      <c r="M31" s="16"/>
      <c r="N31" s="16"/>
      <c r="O31" s="16"/>
      <c r="P31" s="16" cm="1">
        <f t="array" ref="P31">SUMPRODUCT(--NOT(ISNUMBER(F3:F117)))</f>
        <v>0</v>
      </c>
    </row>
    <row r="32" spans="1:16" x14ac:dyDescent="0.35">
      <c r="A32" t="s">
        <v>155</v>
      </c>
      <c r="B32" s="11">
        <v>176</v>
      </c>
      <c r="C32" t="str">
        <f>IF(B32&lt;=500,"Low Price",IF(B32&lt;=1500,"Medium Price","High Price"))</f>
        <v>Low Price</v>
      </c>
      <c r="D32" s="3">
        <v>345</v>
      </c>
      <c r="E32" s="3">
        <f>D32-B32</f>
        <v>169</v>
      </c>
      <c r="F32" s="2">
        <v>0.49</v>
      </c>
      <c r="G32" s="2" t="str">
        <f>IF(F32&lt;0.2,"Low Discount",IF(F32&gt;=0.4,"Medium Discount",IF(F32&gt;40,"High Discount","Medium Discount")))</f>
        <v>Medium Discount</v>
      </c>
      <c r="H32" s="14">
        <v>0</v>
      </c>
      <c r="I32" t="s">
        <v>78</v>
      </c>
      <c r="J32" t="str">
        <f>IF(I32&lt;3,"Poor",IF(I32&lt;=4,"Average",IF(I32&gt;4.5,"Excellent","Average")))</f>
        <v>Excellent</v>
      </c>
      <c r="L32" s="16"/>
      <c r="M32" s="16"/>
      <c r="N32" s="16"/>
      <c r="O32" s="16"/>
      <c r="P32" s="16"/>
    </row>
    <row r="33" spans="1:16" x14ac:dyDescent="0.35">
      <c r="A33" t="s">
        <v>257</v>
      </c>
      <c r="B33" s="11">
        <v>1466</v>
      </c>
      <c r="C33" t="str">
        <f>IF(B33&lt;=500,"Low Price",IF(B33&lt;=1500,"Medium Price","High Price"))</f>
        <v>Medium Price</v>
      </c>
      <c r="D33" s="3">
        <v>1699</v>
      </c>
      <c r="E33" s="3">
        <f>D33-B33</f>
        <v>233</v>
      </c>
      <c r="F33" s="2">
        <v>0.14000000000000001</v>
      </c>
      <c r="G33" s="2" t="str">
        <f>IF(F33&lt;0.2,"Low Discount",IF(F33&gt;=0.4,"Medium Discount",IF(F33&gt;40,"High Discount","Medium Discount")))</f>
        <v>Low Discount</v>
      </c>
      <c r="H33" s="14">
        <v>0</v>
      </c>
      <c r="I33" t="s">
        <v>78</v>
      </c>
      <c r="J33" t="str">
        <f>IF(I33&lt;3,"Poor",IF(I33&lt;=4,"Average",IF(I33&gt;4.5,"Excellent","Average")))</f>
        <v>Excellent</v>
      </c>
      <c r="L33" s="16"/>
      <c r="M33" s="16"/>
      <c r="N33" s="16"/>
      <c r="O33" s="16"/>
      <c r="P33" s="16"/>
    </row>
    <row r="34" spans="1:16" x14ac:dyDescent="0.35">
      <c r="A34" t="s">
        <v>259</v>
      </c>
      <c r="B34" s="11">
        <v>274</v>
      </c>
      <c r="C34" t="str">
        <f>IF(B34&lt;=500,"Low Price",IF(B34&lt;=1500,"Medium Price","High Price"))</f>
        <v>Low Price</v>
      </c>
      <c r="D34" s="3">
        <v>537</v>
      </c>
      <c r="E34" s="3">
        <f>D34-B34</f>
        <v>263</v>
      </c>
      <c r="F34" s="2">
        <v>0.49</v>
      </c>
      <c r="G34" s="2" t="str">
        <f>IF(F34&lt;0.2,"Low Discount",IF(F34&gt;=0.4,"Medium Discount",IF(F34&gt;40,"High Discount","Medium Discount")))</f>
        <v>Medium Discount</v>
      </c>
      <c r="H34" s="14">
        <v>0</v>
      </c>
      <c r="I34" t="s">
        <v>78</v>
      </c>
      <c r="J34" t="str">
        <f>IF(I34&lt;3,"Poor",IF(I34&lt;=4,"Average",IF(I34&gt;4.5,"Excellent","Average")))</f>
        <v>Excellent</v>
      </c>
      <c r="L34" s="17" t="s">
        <v>338</v>
      </c>
      <c r="M34" s="16"/>
      <c r="N34" s="16"/>
      <c r="O34" s="16"/>
      <c r="P34" s="16">
        <f>COUNTIF(F3:F117,"&lt;0")+COUNTIF(F3:F117,"&gt;1")</f>
        <v>0</v>
      </c>
    </row>
    <row r="35" spans="1:16" x14ac:dyDescent="0.35">
      <c r="A35" t="s">
        <v>380</v>
      </c>
      <c r="B35" s="11">
        <v>799</v>
      </c>
      <c r="C35" t="str">
        <f>IF(B35&lt;=500,"Low Price",IF(B35&lt;=1500,"Medium Price","High Price"))</f>
        <v>Medium Price</v>
      </c>
      <c r="D35" s="3">
        <v>900</v>
      </c>
      <c r="E35" s="3">
        <f>D35-B35</f>
        <v>101</v>
      </c>
      <c r="F35" s="2">
        <v>0.11</v>
      </c>
      <c r="G35" s="2" t="str">
        <f>IF(F35&lt;0.2,"Low Discount",IF(F35&gt;=0.4,"Medium Discount",IF(F35&gt;40,"High Discount","Medium Discount")))</f>
        <v>Low Discount</v>
      </c>
      <c r="H35" s="14">
        <v>0</v>
      </c>
      <c r="I35" t="s">
        <v>78</v>
      </c>
      <c r="J35" t="str">
        <f>IF(I35&lt;3,"Poor",IF(I35&lt;=4,"Average",IF(I35&gt;4.5,"Excellent","Average")))</f>
        <v>Excellent</v>
      </c>
      <c r="L35" s="16"/>
      <c r="M35" s="16"/>
      <c r="N35" s="16"/>
      <c r="O35" s="16"/>
      <c r="P35" s="16"/>
    </row>
    <row r="36" spans="1:16" x14ac:dyDescent="0.35">
      <c r="A36" t="s">
        <v>176</v>
      </c>
      <c r="B36" s="11">
        <v>657</v>
      </c>
      <c r="C36" t="str">
        <f>IF(B36&lt;=500,"Low Price",IF(B36&lt;=1500,"Medium Price","High Price"))</f>
        <v>Medium Price</v>
      </c>
      <c r="D36" s="3">
        <v>1288</v>
      </c>
      <c r="E36" s="3">
        <f>D36-B36</f>
        <v>631</v>
      </c>
      <c r="F36" s="2">
        <v>0.49</v>
      </c>
      <c r="G36" s="2" t="str">
        <f>IF(F36&lt;0.2,"Low Discount",IF(F36&gt;=0.4,"Medium Discount",IF(F36&gt;40,"High Discount","Medium Discount")))</f>
        <v>Medium Discount</v>
      </c>
      <c r="H36" s="14">
        <v>0</v>
      </c>
      <c r="I36" t="s">
        <v>78</v>
      </c>
      <c r="J36" t="str">
        <f>IF(I36&lt;3,"Poor",IF(I36&lt;=4,"Average",IF(I36&gt;4.5,"Excellent","Average")))</f>
        <v>Excellent</v>
      </c>
      <c r="L36" s="16"/>
      <c r="M36" s="16"/>
      <c r="N36" s="16"/>
      <c r="O36" s="16"/>
      <c r="P36" s="16"/>
    </row>
    <row r="37" spans="1:16" x14ac:dyDescent="0.35">
      <c r="A37" t="s">
        <v>265</v>
      </c>
      <c r="B37" s="11">
        <v>1468</v>
      </c>
      <c r="C37" t="str">
        <f>IF(B37&lt;=500,"Low Price",IF(B37&lt;=1500,"Medium Price","High Price"))</f>
        <v>Medium Price</v>
      </c>
      <c r="D37" s="3">
        <v>1699</v>
      </c>
      <c r="E37" s="3">
        <f>D37-B37</f>
        <v>231</v>
      </c>
      <c r="F37" s="2">
        <v>0.14000000000000001</v>
      </c>
      <c r="G37" s="2" t="str">
        <f>IF(F37&lt;0.2,"Low Discount",IF(F37&gt;=0.4,"Medium Discount",IF(F37&gt;40,"High Discount","Medium Discount")))</f>
        <v>Low Discount</v>
      </c>
      <c r="H37" s="14">
        <v>0</v>
      </c>
      <c r="I37" t="s">
        <v>78</v>
      </c>
      <c r="J37" t="str">
        <f>IF(I37&lt;3,"Poor",IF(I37&lt;=4,"Average",IF(I37&gt;4.5,"Excellent","Average")))</f>
        <v>Excellent</v>
      </c>
      <c r="L37" s="17" t="s">
        <v>339</v>
      </c>
      <c r="M37" s="16"/>
      <c r="N37" s="16"/>
      <c r="O37" s="16"/>
      <c r="P37" s="16">
        <f>COUNTIF(G3:G117,"&lt;0")</f>
        <v>0</v>
      </c>
    </row>
    <row r="38" spans="1:16" x14ac:dyDescent="0.35">
      <c r="A38" t="s">
        <v>267</v>
      </c>
      <c r="B38" s="11">
        <v>630</v>
      </c>
      <c r="C38" t="str">
        <f>IF(B38&lt;=500,"Low Price",IF(B38&lt;=1500,"Medium Price","High Price"))</f>
        <v>Medium Price</v>
      </c>
      <c r="D38" s="3">
        <v>1100</v>
      </c>
      <c r="E38" s="3">
        <f>D38-B38</f>
        <v>470</v>
      </c>
      <c r="F38" s="2">
        <v>0.43</v>
      </c>
      <c r="G38" s="2" t="str">
        <f>IF(F38&lt;0.2,"Low Discount",IF(F38&gt;=0.4,"Medium Discount",IF(F38&gt;40,"High Discount","Medium Discount")))</f>
        <v>Medium Discount</v>
      </c>
      <c r="H38" s="14">
        <v>0</v>
      </c>
      <c r="I38" t="s">
        <v>78</v>
      </c>
      <c r="J38" t="str">
        <f>IF(I38&lt;3,"Poor",IF(I38&lt;=4,"Average",IF(I38&gt;4.5,"Excellent","Average")))</f>
        <v>Excellent</v>
      </c>
      <c r="L38" s="16"/>
      <c r="M38" s="16"/>
      <c r="N38" s="16"/>
      <c r="O38" s="16"/>
      <c r="P38" s="16"/>
    </row>
    <row r="39" spans="1:16" x14ac:dyDescent="0.35">
      <c r="A39" t="s">
        <v>270</v>
      </c>
      <c r="B39" s="11">
        <v>850</v>
      </c>
      <c r="C39" t="str">
        <f>IF(B39&lt;=500,"Low Price",IF(B39&lt;=1500,"Medium Price","High Price"))</f>
        <v>Medium Price</v>
      </c>
      <c r="D39" s="3">
        <v>1700</v>
      </c>
      <c r="E39" s="3">
        <f>D39-B39</f>
        <v>850</v>
      </c>
      <c r="F39" s="2">
        <v>0.5</v>
      </c>
      <c r="G39" s="2" t="str">
        <f>IF(F39&lt;0.2,"Low Discount",IF(F39&gt;=0.4,"Medium Discount",IF(F39&gt;40,"High Discount","Medium Discount")))</f>
        <v>Medium Discount</v>
      </c>
      <c r="H39" s="14">
        <v>0</v>
      </c>
      <c r="I39" t="s">
        <v>78</v>
      </c>
      <c r="J39" t="str">
        <f>IF(I39&lt;3,"Poor",IF(I39&lt;=4,"Average",IF(I39&gt;4.5,"Excellent","Average")))</f>
        <v>Excellent</v>
      </c>
      <c r="L39" s="16"/>
      <c r="M39" s="16"/>
      <c r="N39" s="16"/>
      <c r="O39" s="16"/>
      <c r="P39" s="16"/>
    </row>
    <row r="40" spans="1:16" x14ac:dyDescent="0.35">
      <c r="A40" t="s">
        <v>273</v>
      </c>
      <c r="B40" s="11">
        <v>1300</v>
      </c>
      <c r="C40" t="str">
        <f>IF(B40&lt;=500,"Low Price",IF(B40&lt;=1500,"Medium Price","High Price"))</f>
        <v>Medium Price</v>
      </c>
      <c r="D40" s="3">
        <v>2500</v>
      </c>
      <c r="E40" s="3">
        <f>D40-B40</f>
        <v>1200</v>
      </c>
      <c r="F40" s="2">
        <v>0.48</v>
      </c>
      <c r="G40" s="2" t="str">
        <f>IF(F40&lt;0.2,"Low Discount",IF(F40&gt;=0.4,"Medium Discount",IF(F40&gt;40,"High Discount","Medium Discount")))</f>
        <v>Medium Discount</v>
      </c>
      <c r="H40" s="14">
        <v>0</v>
      </c>
      <c r="I40" t="s">
        <v>78</v>
      </c>
      <c r="J40" t="str">
        <f>IF(I40&lt;3,"Poor",IF(I40&lt;=4,"Average",IF(I40&gt;4.5,"Excellent","Average")))</f>
        <v>Excellent</v>
      </c>
      <c r="L40" s="17" t="s">
        <v>340</v>
      </c>
      <c r="M40" s="16"/>
      <c r="N40" s="16"/>
      <c r="O40" s="16"/>
      <c r="P40" s="16" cm="1">
        <f t="array" ref="P40">SUMPRODUCT(--(D3:D117&gt;E3:E117))</f>
        <v>114</v>
      </c>
    </row>
    <row r="41" spans="1:16" x14ac:dyDescent="0.35">
      <c r="A41" t="s">
        <v>275</v>
      </c>
      <c r="B41" s="11">
        <v>105</v>
      </c>
      <c r="C41" t="str">
        <f>IF(B41&lt;=500,"Low Price",IF(B41&lt;=1500,"Medium Price","High Price"))</f>
        <v>Low Price</v>
      </c>
      <c r="D41" s="3">
        <v>200</v>
      </c>
      <c r="E41" s="3">
        <f>D41-B41</f>
        <v>95</v>
      </c>
      <c r="F41" s="2">
        <v>0.48</v>
      </c>
      <c r="G41" s="2" t="str">
        <f>IF(F41&lt;0.2,"Low Discount",IF(F41&gt;=0.4,"Medium Discount",IF(F41&gt;40,"High Discount","Medium Discount")))</f>
        <v>Medium Discount</v>
      </c>
      <c r="H41" s="14">
        <v>0</v>
      </c>
      <c r="I41" t="s">
        <v>78</v>
      </c>
      <c r="J41" t="str">
        <f>IF(I41&lt;3,"Poor",IF(I41&lt;=4,"Average",IF(I41&gt;4.5,"Excellent","Average")))</f>
        <v>Excellent</v>
      </c>
      <c r="L41" s="16"/>
      <c r="M41" s="16"/>
      <c r="N41" s="16"/>
      <c r="O41" s="16"/>
      <c r="P41" s="16"/>
    </row>
    <row r="42" spans="1:16" x14ac:dyDescent="0.35">
      <c r="A42" t="s">
        <v>278</v>
      </c>
      <c r="B42" s="11">
        <v>899</v>
      </c>
      <c r="C42" t="str">
        <f>IF(B42&lt;=500,"Low Price",IF(B42&lt;=1500,"Medium Price","High Price"))</f>
        <v>Medium Price</v>
      </c>
      <c r="D42" s="3">
        <v>1699</v>
      </c>
      <c r="E42" s="3">
        <f>D42-B42</f>
        <v>800</v>
      </c>
      <c r="F42" s="2">
        <v>0.47</v>
      </c>
      <c r="G42" s="2" t="str">
        <f>IF(F42&lt;0.2,"Low Discount",IF(F42&gt;=0.4,"Medium Discount",IF(F42&gt;40,"High Discount","Medium Discount")))</f>
        <v>Medium Discount</v>
      </c>
      <c r="H42" s="14">
        <v>0</v>
      </c>
      <c r="I42" t="s">
        <v>78</v>
      </c>
      <c r="J42" t="str">
        <f>IF(I42&lt;3,"Poor",IF(I42&lt;=4,"Average",IF(I42&gt;4.5,"Excellent","Average")))</f>
        <v>Excellent</v>
      </c>
      <c r="L42" s="17" t="s">
        <v>342</v>
      </c>
      <c r="M42" s="16"/>
      <c r="N42" s="16"/>
      <c r="O42" s="16"/>
      <c r="P42" s="16">
        <f>COUNTIF(J3:J117,"&lt;0")+COUNTIF(J3:J117,"&gt;5")</f>
        <v>0</v>
      </c>
    </row>
    <row r="43" spans="1:16" x14ac:dyDescent="0.35">
      <c r="A43" t="s">
        <v>278</v>
      </c>
      <c r="B43" s="11">
        <v>899</v>
      </c>
      <c r="C43" t="str">
        <f>IF(B43&lt;=500,"Low Price",IF(B43&lt;=1500,"Medium Price","High Price"))</f>
        <v>Medium Price</v>
      </c>
      <c r="D43" s="3">
        <v>1699</v>
      </c>
      <c r="E43" s="3">
        <f>D43-B43</f>
        <v>800</v>
      </c>
      <c r="F43" s="2">
        <v>0.47</v>
      </c>
      <c r="G43" s="2" t="str">
        <f>IF(F43&lt;0.2,"Low Discount",IF(F43&gt;=0.4,"Medium Discount",IF(F43&gt;40,"High Discount","Medium Discount")))</f>
        <v>Medium Discount</v>
      </c>
      <c r="H43" s="14">
        <v>0</v>
      </c>
      <c r="I43" t="s">
        <v>78</v>
      </c>
      <c r="J43" t="str">
        <f>IF(I43&lt;3,"Poor",IF(I43&lt;=4,"Average",IF(I43&gt;4.5,"Excellent","Average")))</f>
        <v>Excellent</v>
      </c>
      <c r="L43" s="16"/>
      <c r="M43" s="16"/>
      <c r="N43" s="16"/>
      <c r="O43" s="16"/>
      <c r="P43" s="16"/>
    </row>
    <row r="44" spans="1:16" x14ac:dyDescent="0.35">
      <c r="A44" t="s">
        <v>381</v>
      </c>
      <c r="B44" s="11">
        <v>1200</v>
      </c>
      <c r="C44" t="str">
        <f>IF(B44&lt;=500,"Low Price",IF(B44&lt;=1500,"Medium Price","High Price"))</f>
        <v>Medium Price</v>
      </c>
      <c r="D44" s="3">
        <v>2400</v>
      </c>
      <c r="E44" s="3">
        <f>D44-B44</f>
        <v>1200</v>
      </c>
      <c r="F44" s="2">
        <v>0.5</v>
      </c>
      <c r="G44" s="2" t="str">
        <f>IF(F44&lt;0.2,"Low Discount",IF(F44&gt;=0.4,"Medium Discount",IF(F44&gt;40,"High Discount","Medium Discount")))</f>
        <v>Medium Discount</v>
      </c>
      <c r="H44" s="14">
        <v>0</v>
      </c>
      <c r="I44" t="s">
        <v>78</v>
      </c>
      <c r="J44" t="str">
        <f>IF(I44&lt;3,"Poor",IF(I44&lt;=4,"Average",IF(I44&gt;4.5,"Excellent","Average")))</f>
        <v>Excellent</v>
      </c>
    </row>
    <row r="45" spans="1:16" x14ac:dyDescent="0.35">
      <c r="A45" t="s">
        <v>281</v>
      </c>
      <c r="B45" s="11">
        <v>1526</v>
      </c>
      <c r="C45" t="str">
        <f>IF(B45&lt;=500,"Low Price",IF(B45&lt;=1500,"Medium Price","High Price"))</f>
        <v>High Price</v>
      </c>
      <c r="D45" s="3">
        <v>1660</v>
      </c>
      <c r="E45" s="3">
        <f>D45-B45</f>
        <v>134</v>
      </c>
      <c r="F45" s="2">
        <v>0.08</v>
      </c>
      <c r="G45" s="2" t="str">
        <f>IF(F45&lt;0.2,"Low Discount",IF(F45&gt;=0.4,"Medium Discount",IF(F45&gt;40,"High Discount","Medium Discount")))</f>
        <v>Low Discount</v>
      </c>
      <c r="H45" s="14">
        <v>0</v>
      </c>
      <c r="I45" t="s">
        <v>78</v>
      </c>
      <c r="J45" t="str">
        <f>IF(I45&lt;3,"Poor",IF(I45&lt;=4,"Average",IF(I45&gt;4.5,"Excellent","Average")))</f>
        <v>Excellent</v>
      </c>
    </row>
    <row r="46" spans="1:16" x14ac:dyDescent="0.35">
      <c r="A46" t="s">
        <v>283</v>
      </c>
      <c r="B46" s="11">
        <v>1462</v>
      </c>
      <c r="C46" t="str">
        <f>IF(B46&lt;=500,"Low Price",IF(B46&lt;=1500,"Medium Price","High Price"))</f>
        <v>Medium Price</v>
      </c>
      <c r="D46" s="3">
        <v>1499</v>
      </c>
      <c r="E46" s="3">
        <f>D46-B46</f>
        <v>37</v>
      </c>
      <c r="F46" s="2">
        <v>0.02</v>
      </c>
      <c r="G46" s="2" t="str">
        <f>IF(F46&lt;0.2,"Low Discount",IF(F46&gt;=0.4,"Medium Discount",IF(F46&gt;40,"High Discount","Medium Discount")))</f>
        <v>Low Discount</v>
      </c>
      <c r="H46" s="14">
        <v>0</v>
      </c>
      <c r="I46" t="s">
        <v>78</v>
      </c>
      <c r="J46" t="str">
        <f>IF(I46&lt;3,"Poor",IF(I46&lt;=4,"Average",IF(I46&gt;4.5,"Excellent","Average")))</f>
        <v>Excellent</v>
      </c>
    </row>
    <row r="47" spans="1:16" x14ac:dyDescent="0.35">
      <c r="A47" t="s">
        <v>285</v>
      </c>
      <c r="B47" s="11">
        <v>248</v>
      </c>
      <c r="C47" t="str">
        <f>IF(B47&lt;=500,"Low Price",IF(B47&lt;=1500,"Medium Price","High Price"))</f>
        <v>Low Price</v>
      </c>
      <c r="D47" s="3">
        <v>486</v>
      </c>
      <c r="E47" s="3">
        <f>D47-B47</f>
        <v>238</v>
      </c>
      <c r="F47" s="2">
        <v>0.49</v>
      </c>
      <c r="G47" s="2" t="str">
        <f>IF(F47&lt;0.2,"Low Discount",IF(F47&gt;=0.4,"Medium Discount",IF(F47&gt;40,"High Discount","Medium Discount")))</f>
        <v>Medium Discount</v>
      </c>
      <c r="H47" s="14">
        <v>0</v>
      </c>
      <c r="I47" t="s">
        <v>78</v>
      </c>
      <c r="J47" t="str">
        <f>IF(I47&lt;3,"Poor",IF(I47&lt;=4,"Average",IF(I47&gt;4.5,"Excellent","Average")))</f>
        <v>Excellent</v>
      </c>
    </row>
    <row r="48" spans="1:16" x14ac:dyDescent="0.35">
      <c r="A48" t="s">
        <v>288</v>
      </c>
      <c r="B48" s="11">
        <v>3546</v>
      </c>
      <c r="C48" t="str">
        <f>IF(B48&lt;=500,"Low Price",IF(B48&lt;=1500,"Medium Price","High Price"))</f>
        <v>High Price</v>
      </c>
      <c r="D48" s="3">
        <v>3699</v>
      </c>
      <c r="E48" s="3">
        <f>D48-B48</f>
        <v>153</v>
      </c>
      <c r="F48" s="2">
        <v>0.04</v>
      </c>
      <c r="G48" s="2" t="str">
        <f>IF(F48&lt;0.2,"Low Discount",IF(F48&gt;=0.4,"Medium Discount",IF(F48&gt;40,"High Discount","Medium Discount")))</f>
        <v>Low Discount</v>
      </c>
      <c r="H48" s="14">
        <v>0</v>
      </c>
      <c r="I48" t="s">
        <v>78</v>
      </c>
      <c r="J48" t="str">
        <f>IF(I48&lt;3,"Poor",IF(I48&lt;=4,"Average",IF(I48&gt;4.5,"Excellent","Average")))</f>
        <v>Excellent</v>
      </c>
    </row>
    <row r="49" spans="1:10" x14ac:dyDescent="0.35">
      <c r="A49" t="s">
        <v>290</v>
      </c>
      <c r="B49" s="11">
        <v>525</v>
      </c>
      <c r="C49" t="str">
        <f>IF(B49&lt;=500,"Low Price",IF(B49&lt;=1500,"Medium Price","High Price"))</f>
        <v>Medium Price</v>
      </c>
      <c r="D49" s="3">
        <v>1029</v>
      </c>
      <c r="E49" s="3">
        <f>D49-B49</f>
        <v>504</v>
      </c>
      <c r="F49" s="2">
        <v>0.49</v>
      </c>
      <c r="G49" s="2" t="str">
        <f>IF(F49&lt;0.2,"Low Discount",IF(F49&gt;=0.4,"Medium Discount",IF(F49&gt;40,"High Discount","Medium Discount")))</f>
        <v>Medium Discount</v>
      </c>
      <c r="H49" s="14">
        <v>0</v>
      </c>
      <c r="I49" t="s">
        <v>78</v>
      </c>
      <c r="J49" t="str">
        <f>IF(I49&lt;3,"Poor",IF(I49&lt;=4,"Average",IF(I49&gt;4.5,"Excellent","Average")))</f>
        <v>Excellent</v>
      </c>
    </row>
    <row r="50" spans="1:10" x14ac:dyDescent="0.35">
      <c r="A50" t="s">
        <v>382</v>
      </c>
      <c r="B50" s="11">
        <v>1080</v>
      </c>
      <c r="C50" t="str">
        <f>IF(B50&lt;=500,"Low Price",IF(B50&lt;=1500,"Medium Price","High Price"))</f>
        <v>Medium Price</v>
      </c>
      <c r="D50" s="3">
        <v>1874</v>
      </c>
      <c r="E50" s="3">
        <f>D50-B50</f>
        <v>794</v>
      </c>
      <c r="F50" s="2">
        <v>0.42</v>
      </c>
      <c r="G50" s="2" t="str">
        <f>IF(F50&lt;0.2,"Low Discount",IF(F50&gt;=0.4,"Medium Discount",IF(F50&gt;40,"High Discount","Medium Discount")))</f>
        <v>Medium Discount</v>
      </c>
      <c r="H50" s="14">
        <v>0</v>
      </c>
      <c r="I50" t="s">
        <v>78</v>
      </c>
      <c r="J50" t="str">
        <f>IF(I50&lt;3,"Poor",IF(I50&lt;=4,"Average",IF(I50&gt;4.5,"Excellent","Average")))</f>
        <v>Excellent</v>
      </c>
    </row>
    <row r="51" spans="1:10" x14ac:dyDescent="0.35">
      <c r="A51" t="s">
        <v>384</v>
      </c>
      <c r="B51" s="11">
        <v>1420</v>
      </c>
      <c r="C51" t="str">
        <f>IF(B51&lt;=500,"Low Price",IF(B51&lt;=1500,"Medium Price","High Price"))</f>
        <v>Medium Price</v>
      </c>
      <c r="D51" s="3">
        <v>2420</v>
      </c>
      <c r="E51" s="3">
        <f>D51-B51</f>
        <v>1000</v>
      </c>
      <c r="F51" s="2">
        <v>0.41</v>
      </c>
      <c r="G51" s="2" t="str">
        <f>IF(F51&lt;0.2,"Low Discount",IF(F51&gt;=0.4,"Medium Discount",IF(F51&gt;40,"High Discount","Medium Discount")))</f>
        <v>Medium Discount</v>
      </c>
      <c r="H51" s="14">
        <v>0</v>
      </c>
      <c r="I51" t="s">
        <v>78</v>
      </c>
      <c r="J51" t="str">
        <f>IF(I51&lt;3,"Poor",IF(I51&lt;=4,"Average",IF(I51&gt;4.5,"Excellent","Average")))</f>
        <v>Excellent</v>
      </c>
    </row>
    <row r="52" spans="1:10" x14ac:dyDescent="0.35">
      <c r="A52" t="s">
        <v>385</v>
      </c>
      <c r="B52" s="11">
        <v>1875</v>
      </c>
      <c r="C52" t="str">
        <f>IF(B52&lt;=500,"Low Price",IF(B52&lt;=1500,"Medium Price","High Price"))</f>
        <v>High Price</v>
      </c>
      <c r="D52" s="3">
        <v>1899</v>
      </c>
      <c r="E52" s="3">
        <f>D52-B52</f>
        <v>24</v>
      </c>
      <c r="F52" s="2">
        <v>0.01</v>
      </c>
      <c r="G52" s="2" t="str">
        <f>IF(F52&lt;0.2,"Low Discount",IF(F52&gt;=0.4,"Medium Discount",IF(F52&gt;40,"High Discount","Medium Discount")))</f>
        <v>Low Discount</v>
      </c>
      <c r="H52" s="14">
        <v>0</v>
      </c>
      <c r="I52" t="s">
        <v>78</v>
      </c>
      <c r="J52" t="str">
        <f>IF(I52&lt;3,"Poor",IF(I52&lt;=4,"Average",IF(I52&gt;4.5,"Excellent","Average")))</f>
        <v>Excellent</v>
      </c>
    </row>
    <row r="53" spans="1:10" x14ac:dyDescent="0.35">
      <c r="A53" t="s">
        <v>386</v>
      </c>
      <c r="B53" s="11">
        <v>198</v>
      </c>
      <c r="C53" t="str">
        <f>IF(B53&lt;=500,"Low Price",IF(B53&lt;=1500,"Medium Price","High Price"))</f>
        <v>Low Price</v>
      </c>
      <c r="D53" s="3">
        <v>260</v>
      </c>
      <c r="E53" s="3">
        <f>D53-B53</f>
        <v>62</v>
      </c>
      <c r="F53" s="2">
        <v>0.24</v>
      </c>
      <c r="G53" s="2" t="str">
        <f>IF(F53&lt;0.2,"Low Discount",IF(F53&gt;=0.4,"Medium Discount",IF(F53&gt;40,"High Discount","Medium Discount")))</f>
        <v>Medium Discount</v>
      </c>
      <c r="H53" s="14">
        <v>0</v>
      </c>
      <c r="I53" t="s">
        <v>78</v>
      </c>
      <c r="J53" t="str">
        <f>IF(I53&lt;3,"Poor",IF(I53&lt;=4,"Average",IF(I53&gt;4.5,"Excellent","Average")))</f>
        <v>Excellent</v>
      </c>
    </row>
    <row r="54" spans="1:10" x14ac:dyDescent="0.35">
      <c r="A54" t="s">
        <v>387</v>
      </c>
      <c r="B54" s="11">
        <v>1150</v>
      </c>
      <c r="C54" t="str">
        <f>IF(B54&lt;=500,"Low Price",IF(B54&lt;=1500,"Medium Price","High Price"))</f>
        <v>Medium Price</v>
      </c>
      <c r="D54" s="3">
        <v>1737</v>
      </c>
      <c r="E54" s="3">
        <f>D54-B54</f>
        <v>587</v>
      </c>
      <c r="F54" s="2">
        <v>0.34</v>
      </c>
      <c r="G54" s="2" t="str">
        <f>IF(F54&lt;0.2,"Low Discount",IF(F54&gt;=0.4,"Medium Discount",IF(F54&gt;40,"High Discount","Medium Discount")))</f>
        <v>Medium Discount</v>
      </c>
      <c r="H54" s="14">
        <v>0</v>
      </c>
      <c r="I54" t="s">
        <v>78</v>
      </c>
      <c r="J54" t="str">
        <f>IF(I54&lt;3,"Poor",IF(I54&lt;=4,"Average",IF(I54&gt;4.5,"Excellent","Average")))</f>
        <v>Excellent</v>
      </c>
    </row>
    <row r="55" spans="1:10" x14ac:dyDescent="0.35">
      <c r="A55" t="s">
        <v>388</v>
      </c>
      <c r="B55" s="11">
        <v>1190</v>
      </c>
      <c r="C55" t="str">
        <f>IF(B55&lt;=500,"Low Price",IF(B55&lt;=1500,"Medium Price","High Price"))</f>
        <v>Medium Price</v>
      </c>
      <c r="D55" s="3">
        <v>1810</v>
      </c>
      <c r="E55" s="3">
        <f>D55-B55</f>
        <v>620</v>
      </c>
      <c r="F55" s="2">
        <v>0.34</v>
      </c>
      <c r="G55" s="2" t="str">
        <f>IF(F55&lt;0.2,"Low Discount",IF(F55&gt;=0.4,"Medium Discount",IF(F55&gt;40,"High Discount","Medium Discount")))</f>
        <v>Medium Discount</v>
      </c>
      <c r="H55" s="14">
        <v>0</v>
      </c>
      <c r="I55" t="s">
        <v>78</v>
      </c>
      <c r="J55" t="str">
        <f>IF(I55&lt;3,"Poor",IF(I55&lt;=4,"Average",IF(I55&gt;4.5,"Excellent","Average")))</f>
        <v>Excellent</v>
      </c>
    </row>
    <row r="56" spans="1:10" x14ac:dyDescent="0.35">
      <c r="A56" t="s">
        <v>313</v>
      </c>
      <c r="B56" s="11">
        <v>1658</v>
      </c>
      <c r="C56" t="str">
        <f>IF(B56&lt;=500,"Low Price",IF(B56&lt;=1500,"Medium Price","High Price"))</f>
        <v>High Price</v>
      </c>
      <c r="D56" s="3">
        <v>1699</v>
      </c>
      <c r="E56" s="3">
        <f>D56-B56</f>
        <v>41</v>
      </c>
      <c r="F56" s="2">
        <v>0.02</v>
      </c>
      <c r="G56" s="2" t="str">
        <f>IF(F56&lt;0.2,"Low Discount",IF(F56&gt;=0.4,"Medium Discount",IF(F56&gt;40,"High Discount","Medium Discount")))</f>
        <v>Low Discount</v>
      </c>
      <c r="H56" s="14">
        <v>0</v>
      </c>
      <c r="I56" t="s">
        <v>78</v>
      </c>
      <c r="J56" t="str">
        <f>IF(I56&lt;3,"Poor",IF(I56&lt;=4,"Average",IF(I56&gt;4.5,"Excellent","Average")))</f>
        <v>Excellent</v>
      </c>
    </row>
    <row r="57" spans="1:10" x14ac:dyDescent="0.35">
      <c r="A57" t="s">
        <v>315</v>
      </c>
      <c r="B57" s="11">
        <v>1768</v>
      </c>
      <c r="C57" t="str">
        <f>IF(B57&lt;=500,"Low Price",IF(B57&lt;=1500,"Medium Price","High Price"))</f>
        <v>High Price</v>
      </c>
      <c r="D57" s="3">
        <v>1799</v>
      </c>
      <c r="E57" s="3">
        <f>D57-B57</f>
        <v>31</v>
      </c>
      <c r="F57" s="2">
        <v>0.02</v>
      </c>
      <c r="G57" s="2" t="str">
        <f>IF(F57&lt;0.2,"Low Discount",IF(F57&gt;=0.4,"Medium Discount",IF(F57&gt;40,"High Discount","Medium Discount")))</f>
        <v>Low Discount</v>
      </c>
      <c r="H57" s="14">
        <v>0</v>
      </c>
      <c r="I57" t="s">
        <v>78</v>
      </c>
      <c r="J57" t="str">
        <f>IF(I57&lt;3,"Poor",IF(I57&lt;=4,"Average",IF(I57&gt;4.5,"Excellent","Average")))</f>
        <v>Excellent</v>
      </c>
    </row>
    <row r="58" spans="1:10" x14ac:dyDescent="0.35">
      <c r="A58" t="s">
        <v>317</v>
      </c>
      <c r="B58" s="11">
        <v>199</v>
      </c>
      <c r="C58" t="str">
        <f>IF(B58&lt;=500,"Low Price",IF(B58&lt;=1500,"Medium Price","High Price"))</f>
        <v>Low Price</v>
      </c>
      <c r="D58" s="3">
        <v>553</v>
      </c>
      <c r="E58" s="3">
        <f>D58-B58</f>
        <v>354</v>
      </c>
      <c r="F58" s="2">
        <v>0.64</v>
      </c>
      <c r="G58" s="2" t="str">
        <f>IF(F58&lt;0.2,"Low Discount",IF(F58&gt;=0.4,"Medium Discount",IF(F58&gt;40,"High Discount","Medium Discount")))</f>
        <v>Medium Discount</v>
      </c>
      <c r="H58" s="14">
        <v>0</v>
      </c>
      <c r="I58" t="s">
        <v>78</v>
      </c>
      <c r="J58" t="str">
        <f>IF(I58&lt;3,"Poor",IF(I58&lt;=4,"Average",IF(I58&gt;4.5,"Excellent","Average")))</f>
        <v>Excellent</v>
      </c>
    </row>
    <row r="59" spans="1:10" x14ac:dyDescent="0.35">
      <c r="A59" t="s">
        <v>321</v>
      </c>
      <c r="B59" s="11">
        <v>169</v>
      </c>
      <c r="C59" t="str">
        <f>IF(B59&lt;=500,"Low Price",IF(B59&lt;=1500,"Medium Price","High Price"))</f>
        <v>Low Price</v>
      </c>
      <c r="D59" s="3">
        <v>320</v>
      </c>
      <c r="E59" s="3">
        <f>D59-B59</f>
        <v>151</v>
      </c>
      <c r="F59" s="2">
        <v>0.47</v>
      </c>
      <c r="G59" s="2" t="str">
        <f>IF(F59&lt;0.2,"Low Discount",IF(F59&gt;=0.4,"Medium Discount",IF(F59&gt;40,"High Discount","Medium Discount")))</f>
        <v>Medium Discount</v>
      </c>
      <c r="H59" s="14">
        <v>0</v>
      </c>
      <c r="I59" t="s">
        <v>78</v>
      </c>
      <c r="J59" t="str">
        <f>IF(I59&lt;3,"Poor",IF(I59&lt;=4,"Average",IF(I59&gt;4.5,"Excellent","Average")))</f>
        <v>Excellent</v>
      </c>
    </row>
    <row r="60" spans="1:10" x14ac:dyDescent="0.35">
      <c r="A60" t="s">
        <v>348</v>
      </c>
      <c r="B60" s="11">
        <v>2025</v>
      </c>
      <c r="C60" t="str">
        <f>IF(B60&lt;=500,"Low Price",IF(B60&lt;=1500,"Medium Price","High Price"))</f>
        <v>High Price</v>
      </c>
      <c r="D60" s="3">
        <v>3971</v>
      </c>
      <c r="E60" s="3">
        <f>D60-B60</f>
        <v>1946</v>
      </c>
      <c r="F60" s="2">
        <v>0.49</v>
      </c>
      <c r="G60" s="2" t="str">
        <f>IF(F60&lt;0.2,"Low Discount",IF(F60&gt;=0.4,"Medium Discount",IF(F60&gt;40,"High Discount","Medium Discount")))</f>
        <v>Medium Discount</v>
      </c>
      <c r="H60" s="14">
        <v>3</v>
      </c>
      <c r="I60">
        <v>5</v>
      </c>
      <c r="J60" t="str">
        <f>IF(I60&lt;3,"Poor",IF(I60&lt;=4,"Average",IF(I60&gt;4.5,"Excellent","Average")))</f>
        <v>Excellent</v>
      </c>
    </row>
    <row r="61" spans="1:10" x14ac:dyDescent="0.35">
      <c r="A61" t="s">
        <v>56</v>
      </c>
      <c r="B61" s="11">
        <v>332</v>
      </c>
      <c r="C61" t="str">
        <f>IF(B61&lt;=500,"Low Price",IF(B61&lt;=1500,"Medium Price","High Price"))</f>
        <v>Low Price</v>
      </c>
      <c r="D61" s="3">
        <v>684</v>
      </c>
      <c r="E61" s="3">
        <f>D61-B61</f>
        <v>352</v>
      </c>
      <c r="F61" s="2">
        <v>0.51</v>
      </c>
      <c r="G61" s="2" t="str">
        <f>IF(F61&lt;0.2,"Low Discount",IF(F61&gt;=0.4,"Medium Discount",IF(F61&gt;40,"High Discount","Medium Discount")))</f>
        <v>Medium Discount</v>
      </c>
      <c r="H61" s="14">
        <v>2</v>
      </c>
      <c r="I61">
        <v>5</v>
      </c>
      <c r="J61" t="str">
        <f>IF(I61&lt;3,"Poor",IF(I61&lt;=4,"Average",IF(I61&gt;4.5,"Excellent","Average")))</f>
        <v>Excellent</v>
      </c>
    </row>
    <row r="62" spans="1:10" x14ac:dyDescent="0.35">
      <c r="A62" t="s">
        <v>60</v>
      </c>
      <c r="B62" s="11">
        <v>195</v>
      </c>
      <c r="C62" t="str">
        <f>IF(B62&lt;=500,"Low Price",IF(B62&lt;=1500,"Medium Price","High Price"))</f>
        <v>Low Price</v>
      </c>
      <c r="D62" s="3">
        <v>360</v>
      </c>
      <c r="E62" s="3">
        <f>D62-B62</f>
        <v>165</v>
      </c>
      <c r="F62" s="2">
        <v>0.46</v>
      </c>
      <c r="G62" s="2" t="str">
        <f>IF(F62&lt;0.2,"Low Discount",IF(F62&gt;=0.4,"Medium Discount",IF(F62&gt;40,"High Discount","Medium Discount")))</f>
        <v>Medium Discount</v>
      </c>
      <c r="H62" s="14">
        <v>2</v>
      </c>
      <c r="I62">
        <v>5</v>
      </c>
      <c r="J62" t="str">
        <f>IF(I62&lt;3,"Poor",IF(I62&lt;=4,"Average",IF(I62&gt;4.5,"Excellent","Average")))</f>
        <v>Excellent</v>
      </c>
    </row>
    <row r="63" spans="1:10" x14ac:dyDescent="0.35">
      <c r="A63" t="s">
        <v>121</v>
      </c>
      <c r="B63" s="11">
        <v>171</v>
      </c>
      <c r="C63" t="str">
        <f>IF(B63&lt;=500,"Low Price",IF(B63&lt;=1500,"Medium Price","High Price"))</f>
        <v>Low Price</v>
      </c>
      <c r="D63" s="3">
        <v>360</v>
      </c>
      <c r="E63" s="3">
        <f>D63-B63</f>
        <v>189</v>
      </c>
      <c r="F63" s="2">
        <v>0.53</v>
      </c>
      <c r="G63" s="2" t="str">
        <f>IF(F63&lt;0.2,"Low Discount",IF(F63&gt;=0.4,"Medium Discount",IF(F63&gt;40,"High Discount","Medium Discount")))</f>
        <v>Medium Discount</v>
      </c>
      <c r="H63" s="14">
        <v>2</v>
      </c>
      <c r="I63">
        <v>5</v>
      </c>
      <c r="J63" t="str">
        <f>IF(I63&lt;3,"Poor",IF(I63&lt;=4,"Average",IF(I63&gt;4.5,"Excellent","Average")))</f>
        <v>Excellent</v>
      </c>
    </row>
    <row r="64" spans="1:10" x14ac:dyDescent="0.35">
      <c r="A64" t="s">
        <v>357</v>
      </c>
      <c r="B64" s="11">
        <v>1620</v>
      </c>
      <c r="C64" t="str">
        <f>IF(B64&lt;=500,"Low Price",IF(B64&lt;=1500,"Medium Price","High Price"))</f>
        <v>High Price</v>
      </c>
      <c r="D64" s="3">
        <v>2690</v>
      </c>
      <c r="E64" s="3">
        <f>D64-B64</f>
        <v>1070</v>
      </c>
      <c r="F64" s="2">
        <v>0.4</v>
      </c>
      <c r="G64" s="2" t="str">
        <f>IF(F64&lt;0.2,"Low Discount",IF(F64&gt;=0.4,"Medium Discount",IF(F64&gt;40,"High Discount","Medium Discount")))</f>
        <v>Medium Discount</v>
      </c>
      <c r="H64" s="14">
        <v>1</v>
      </c>
      <c r="I64">
        <v>5</v>
      </c>
      <c r="J64" t="str">
        <f>IF(I64&lt;3,"Poor",IF(I64&lt;=4,"Average",IF(I64&gt;4.5,"Excellent","Average")))</f>
        <v>Excellent</v>
      </c>
    </row>
    <row r="65" spans="1:10" x14ac:dyDescent="0.35">
      <c r="A65" t="s">
        <v>246</v>
      </c>
      <c r="B65" s="11">
        <v>979</v>
      </c>
      <c r="C65" t="str">
        <f>IF(B65&lt;=500,"Low Price",IF(B65&lt;=1500,"Medium Price","High Price"))</f>
        <v>Medium Price</v>
      </c>
      <c r="D65" s="3">
        <v>1920</v>
      </c>
      <c r="E65" s="3">
        <f>D65-B65</f>
        <v>941</v>
      </c>
      <c r="F65" s="2">
        <v>0.49</v>
      </c>
      <c r="G65" s="2" t="str">
        <f>IF(F65&lt;0.2,"Low Discount",IF(F65&gt;=0.4,"Medium Discount",IF(F65&gt;40,"High Discount","Medium Discount")))</f>
        <v>Medium Discount</v>
      </c>
      <c r="H65" s="14">
        <v>1</v>
      </c>
      <c r="I65">
        <v>5</v>
      </c>
      <c r="J65" t="str">
        <f>IF(I65&lt;3,"Poor",IF(I65&lt;=4,"Average",IF(I65&gt;4.5,"Excellent","Average")))</f>
        <v>Excellent</v>
      </c>
    </row>
    <row r="66" spans="1:10" x14ac:dyDescent="0.35">
      <c r="A66" t="s">
        <v>383</v>
      </c>
      <c r="B66" s="11">
        <v>3640</v>
      </c>
      <c r="C66" t="str">
        <f>IF(B66&lt;=500,"Low Price",IF(B66&lt;=1500,"Medium Price","High Price"))</f>
        <v>High Price</v>
      </c>
      <c r="D66" s="3">
        <v>4588</v>
      </c>
      <c r="E66" s="3">
        <f>D66-B66</f>
        <v>948</v>
      </c>
      <c r="F66" s="2">
        <v>0.21</v>
      </c>
      <c r="G66" s="2" t="str">
        <f>IF(F66&lt;0.2,"Low Discount",IF(F66&gt;=0.4,"Medium Discount",IF(F66&gt;40,"High Discount","Medium Discount")))</f>
        <v>Medium Discount</v>
      </c>
      <c r="H66" s="14">
        <v>1</v>
      </c>
      <c r="I66">
        <v>5</v>
      </c>
      <c r="J66" t="str">
        <f>IF(I66&lt;3,"Poor",IF(I66&lt;=4,"Average",IF(I66&gt;4.5,"Excellent","Average")))</f>
        <v>Excellent</v>
      </c>
    </row>
    <row r="67" spans="1:10" x14ac:dyDescent="0.35">
      <c r="A67" t="s">
        <v>346</v>
      </c>
      <c r="B67" s="11">
        <v>552</v>
      </c>
      <c r="C67" t="str">
        <f>IF(B67&lt;=500,"Low Price",IF(B67&lt;=1500,"Medium Price","High Price"))</f>
        <v>Medium Price</v>
      </c>
      <c r="D67" s="3">
        <v>1035</v>
      </c>
      <c r="E67" s="3">
        <f>D67-B67</f>
        <v>483</v>
      </c>
      <c r="F67" s="2">
        <v>0.47</v>
      </c>
      <c r="G67" s="2" t="str">
        <f>IF(F67&lt;0.2,"Low Discount",IF(F67&gt;=0.4,"Medium Discount",IF(F67&gt;40,"High Discount","Medium Discount")))</f>
        <v>Medium Discount</v>
      </c>
      <c r="H67" s="14">
        <v>12</v>
      </c>
      <c r="I67">
        <v>4.8</v>
      </c>
      <c r="J67" t="str">
        <f>IF(I67&lt;3,"Poor",IF(I67&lt;=4,"Average",IF(I67&gt;4.5,"Excellent","Average")))</f>
        <v>Excellent</v>
      </c>
    </row>
    <row r="68" spans="1:10" x14ac:dyDescent="0.35">
      <c r="A68" t="s">
        <v>22</v>
      </c>
      <c r="B68" s="11">
        <v>1740</v>
      </c>
      <c r="C68" t="str">
        <f>IF(B68&lt;=500,"Low Price",IF(B68&lt;=1500,"Medium Price","High Price"))</f>
        <v>High Price</v>
      </c>
      <c r="D68" s="3">
        <v>2356</v>
      </c>
      <c r="E68" s="3">
        <f>D68-B68</f>
        <v>616</v>
      </c>
      <c r="F68" s="2">
        <v>0.26</v>
      </c>
      <c r="G68" s="2" t="str">
        <f>IF(F68&lt;0.2,"Low Discount",IF(F68&gt;=0.4,"Medium Discount",IF(F68&gt;40,"High Discount","Medium Discount")))</f>
        <v>Medium Discount</v>
      </c>
      <c r="H68" s="14">
        <v>5</v>
      </c>
      <c r="I68">
        <v>4.8</v>
      </c>
      <c r="J68" t="str">
        <f>IF(I68&lt;3,"Poor",IF(I68&lt;=4,"Average",IF(I68&gt;4.5,"Excellent","Average")))</f>
        <v>Excellent</v>
      </c>
    </row>
    <row r="69" spans="1:10" x14ac:dyDescent="0.35">
      <c r="A69" t="s">
        <v>344</v>
      </c>
      <c r="B69" s="11">
        <v>1274</v>
      </c>
      <c r="C69" t="str">
        <f>IF(B69&lt;=500,"Low Price",IF(B69&lt;=1500,"Medium Price","High Price"))</f>
        <v>Medium Price</v>
      </c>
      <c r="D69" s="3">
        <v>2800</v>
      </c>
      <c r="E69" s="3">
        <f>D69-B69</f>
        <v>1526</v>
      </c>
      <c r="F69" s="2">
        <v>0.55000000000000004</v>
      </c>
      <c r="G69" s="2" t="str">
        <f>IF(F69&lt;0.2,"Low Discount",IF(F69&gt;=0.4,"Medium Discount",IF(F69&gt;40,"High Discount","Medium Discount")))</f>
        <v>Medium Discount</v>
      </c>
      <c r="H69" s="14">
        <v>5</v>
      </c>
      <c r="I69">
        <v>4.8</v>
      </c>
      <c r="J69" t="str">
        <f>IF(I69&lt;3,"Poor",IF(I69&lt;=4,"Average",IF(I69&gt;4.5,"Excellent","Average")))</f>
        <v>Excellent</v>
      </c>
    </row>
    <row r="70" spans="1:10" x14ac:dyDescent="0.35">
      <c r="A70" t="s">
        <v>44</v>
      </c>
      <c r="B70" s="11">
        <v>990</v>
      </c>
      <c r="C70" t="str">
        <f>IF(B70&lt;=500,"Low Price",IF(B70&lt;=1500,"Medium Price","High Price"))</f>
        <v>Medium Price</v>
      </c>
      <c r="D70" s="3">
        <v>1500</v>
      </c>
      <c r="E70" s="3">
        <f>D70-B70</f>
        <v>510</v>
      </c>
      <c r="F70" s="2">
        <v>0.34</v>
      </c>
      <c r="G70" s="2" t="str">
        <f>IF(F70&lt;0.2,"Low Discount",IF(F70&gt;=0.4,"Medium Discount",IF(F70&gt;40,"High Discount","Medium Discount")))</f>
        <v>Medium Discount</v>
      </c>
      <c r="H70" s="14">
        <v>39</v>
      </c>
      <c r="I70">
        <v>4.7</v>
      </c>
      <c r="J70" t="str">
        <f>IF(I70&lt;3,"Poor",IF(I70&lt;=4,"Average",IF(I70&gt;4.5,"Excellent","Average")))</f>
        <v>Excellent</v>
      </c>
    </row>
    <row r="71" spans="1:10" x14ac:dyDescent="0.35">
      <c r="A71" t="s">
        <v>112</v>
      </c>
      <c r="B71" s="11">
        <v>1940</v>
      </c>
      <c r="C71" t="str">
        <f>IF(B71&lt;=500,"Low Price",IF(B71&lt;=1500,"Medium Price","High Price"))</f>
        <v>High Price</v>
      </c>
      <c r="D71" s="3">
        <v>2650</v>
      </c>
      <c r="E71" s="3">
        <f>D71-B71</f>
        <v>710</v>
      </c>
      <c r="F71" s="2">
        <v>0.27</v>
      </c>
      <c r="G71" s="2" t="str">
        <f>IF(F71&lt;0.2,"Low Discount",IF(F71&gt;=0.4,"Medium Discount",IF(F71&gt;40,"High Discount","Medium Discount")))</f>
        <v>Medium Discount</v>
      </c>
      <c r="H71" s="14">
        <v>20</v>
      </c>
      <c r="I71">
        <v>4.7</v>
      </c>
      <c r="J71" t="str">
        <f>IF(I71&lt;3,"Poor",IF(I71&lt;=4,"Average",IF(I71&gt;4.5,"Excellent","Average")))</f>
        <v>Excellent</v>
      </c>
    </row>
    <row r="72" spans="1:10" x14ac:dyDescent="0.35">
      <c r="A72" t="s">
        <v>106</v>
      </c>
      <c r="B72" s="11">
        <v>980</v>
      </c>
      <c r="C72" t="str">
        <f>IF(B72&lt;=500,"Low Price",IF(B72&lt;=1500,"Medium Price","High Price"))</f>
        <v>Medium Price</v>
      </c>
      <c r="D72" s="3">
        <v>1490</v>
      </c>
      <c r="E72" s="3">
        <f>D72-B72</f>
        <v>510</v>
      </c>
      <c r="F72" s="2">
        <v>0.34</v>
      </c>
      <c r="G72" s="2" t="str">
        <f>IF(F72&lt;0.2,"Low Discount",IF(F72&gt;=0.4,"Medium Discount",IF(F72&gt;40,"High Discount","Medium Discount")))</f>
        <v>Medium Discount</v>
      </c>
      <c r="H72" s="14">
        <v>12</v>
      </c>
      <c r="I72">
        <v>4.7</v>
      </c>
      <c r="J72" t="str">
        <f>IF(I72&lt;3,"Poor",IF(I72&lt;=4,"Average",IF(I72&gt;4.5,"Excellent","Average")))</f>
        <v>Excellent</v>
      </c>
    </row>
    <row r="73" spans="1:10" x14ac:dyDescent="0.35">
      <c r="A73" t="s">
        <v>343</v>
      </c>
      <c r="B73" s="11">
        <v>1580</v>
      </c>
      <c r="C73" t="str">
        <f>IF(B73&lt;=500,"Low Price",IF(B73&lt;=1500,"Medium Price","High Price"))</f>
        <v>High Price</v>
      </c>
      <c r="D73" s="3">
        <v>2499</v>
      </c>
      <c r="E73" s="3">
        <f>D73-B73</f>
        <v>919</v>
      </c>
      <c r="F73" s="2">
        <v>0.37</v>
      </c>
      <c r="G73" s="2" t="str">
        <f>IF(F73&lt;0.2,"Low Discount",IF(F73&gt;=0.4,"Medium Discount",IF(F73&gt;40,"High Discount","Medium Discount")))</f>
        <v>Medium Discount</v>
      </c>
      <c r="H73" s="14">
        <v>7</v>
      </c>
      <c r="I73">
        <v>4.7</v>
      </c>
      <c r="J73" t="str">
        <f>IF(I73&lt;3,"Poor",IF(I73&lt;=4,"Average",IF(I73&gt;4.5,"Excellent","Average")))</f>
        <v>Excellent</v>
      </c>
    </row>
    <row r="74" spans="1:10" x14ac:dyDescent="0.35">
      <c r="A74" t="s">
        <v>30</v>
      </c>
      <c r="B74" s="11">
        <v>2319</v>
      </c>
      <c r="C74" t="str">
        <f>IF(B74&lt;=500,"Low Price",IF(B74&lt;=1500,"Medium Price","High Price"))</f>
        <v>High Price</v>
      </c>
      <c r="D74" s="3">
        <v>3032</v>
      </c>
      <c r="E74" s="3">
        <f>D74-B74</f>
        <v>713</v>
      </c>
      <c r="F74" s="2">
        <v>0.24</v>
      </c>
      <c r="G74" s="2" t="str">
        <f>IF(F74&lt;0.2,"Low Discount",IF(F74&gt;=0.4,"Medium Discount",IF(F74&gt;40,"High Discount","Medium Discount")))</f>
        <v>Medium Discount</v>
      </c>
      <c r="H74" s="14">
        <v>55</v>
      </c>
      <c r="I74">
        <v>4.5999999999999996</v>
      </c>
      <c r="J74" t="str">
        <f>IF(I74&lt;3,"Poor",IF(I74&lt;=4,"Average",IF(I74&gt;4.5,"Excellent","Average")))</f>
        <v>Excellent</v>
      </c>
    </row>
    <row r="75" spans="1:10" x14ac:dyDescent="0.35">
      <c r="A75" t="s">
        <v>90</v>
      </c>
      <c r="B75" s="11">
        <v>420</v>
      </c>
      <c r="C75" t="str">
        <f>IF(B75&lt;=500,"Low Price",IF(B75&lt;=1500,"Medium Price","High Price"))</f>
        <v>Low Price</v>
      </c>
      <c r="D75" s="3">
        <v>647</v>
      </c>
      <c r="E75" s="3">
        <f>D75-B75</f>
        <v>227</v>
      </c>
      <c r="F75" s="2">
        <v>0.35</v>
      </c>
      <c r="G75" s="2" t="str">
        <f>IF(F75&lt;0.2,"Low Discount",IF(F75&gt;=0.4,"Medium Discount",IF(F75&gt;40,"High Discount","Medium Discount")))</f>
        <v>Medium Discount</v>
      </c>
      <c r="H75" s="14">
        <v>49</v>
      </c>
      <c r="I75">
        <v>4.5999999999999996</v>
      </c>
      <c r="J75" t="str">
        <f>IF(I75&lt;3,"Poor",IF(I75&lt;=4,"Average",IF(I75&gt;4.5,"Excellent","Average")))</f>
        <v>Excellent</v>
      </c>
    </row>
    <row r="76" spans="1:10" x14ac:dyDescent="0.35">
      <c r="A76" t="s">
        <v>350</v>
      </c>
      <c r="B76" s="11">
        <v>998</v>
      </c>
      <c r="C76" t="str">
        <f>IF(B76&lt;=500,"Low Price",IF(B76&lt;=1500,"Medium Price","High Price"))</f>
        <v>Medium Price</v>
      </c>
      <c r="D76" s="3">
        <v>1966</v>
      </c>
      <c r="E76" s="3">
        <f>D76-B76</f>
        <v>968</v>
      </c>
      <c r="F76" s="2">
        <v>0.49</v>
      </c>
      <c r="G76" s="2" t="str">
        <f>IF(F76&lt;0.2,"Low Discount",IF(F76&gt;=0.4,"Medium Discount",IF(F76&gt;40,"High Discount","Medium Discount")))</f>
        <v>Medium Discount</v>
      </c>
      <c r="H76" s="14">
        <v>44</v>
      </c>
      <c r="I76">
        <v>4.5999999999999996</v>
      </c>
      <c r="J76" t="str">
        <f>IF(I76&lt;3,"Poor",IF(I76&lt;=4,"Average",IF(I76&gt;4.5,"Excellent","Average")))</f>
        <v>Excellent</v>
      </c>
    </row>
    <row r="77" spans="1:10" x14ac:dyDescent="0.35">
      <c r="A77" t="s">
        <v>14</v>
      </c>
      <c r="B77" s="11">
        <v>2199</v>
      </c>
      <c r="C77" t="str">
        <f>IF(B77&lt;=500,"Low Price",IF(B77&lt;=1500,"Medium Price","High Price"))</f>
        <v>High Price</v>
      </c>
      <c r="D77" s="3">
        <v>2923</v>
      </c>
      <c r="E77" s="3">
        <f>D77-B77</f>
        <v>724</v>
      </c>
      <c r="F77" s="2">
        <v>0.25</v>
      </c>
      <c r="G77" s="2" t="str">
        <f>IF(F77&lt;0.2,"Low Discount",IF(F77&gt;=0.4,"Medium Discount",IF(F77&gt;40,"High Discount","Medium Discount")))</f>
        <v>Medium Discount</v>
      </c>
      <c r="H77" s="14">
        <v>24</v>
      </c>
      <c r="I77">
        <v>4.5999999999999996</v>
      </c>
      <c r="J77" t="str">
        <f>IF(I77&lt;3,"Poor",IF(I77&lt;=4,"Average",IF(I77&gt;4.5,"Excellent","Average")))</f>
        <v>Excellent</v>
      </c>
    </row>
    <row r="78" spans="1:10" x14ac:dyDescent="0.35">
      <c r="A78" t="s">
        <v>349</v>
      </c>
      <c r="B78" s="11">
        <v>2999</v>
      </c>
      <c r="C78" t="str">
        <f>IF(B78&lt;=500,"Low Price",IF(B78&lt;=1500,"Medium Price","High Price"))</f>
        <v>High Price</v>
      </c>
      <c r="D78" s="3">
        <v>3699</v>
      </c>
      <c r="E78" s="3">
        <f>D78-B78</f>
        <v>700</v>
      </c>
      <c r="F78" s="2">
        <v>0.19</v>
      </c>
      <c r="G78" s="2" t="str">
        <f>IF(F78&lt;0.2,"Low Discount",IF(F78&gt;=0.4,"Medium Discount",IF(F78&gt;40,"High Discount","Medium Discount")))</f>
        <v>Low Discount</v>
      </c>
      <c r="H78" s="14">
        <v>5</v>
      </c>
      <c r="I78">
        <v>4.5999999999999996</v>
      </c>
      <c r="J78" t="str">
        <f>IF(I78&lt;3,"Poor",IF(I78&lt;=4,"Average",IF(I78&gt;4.5,"Excellent","Average")))</f>
        <v>Excellent</v>
      </c>
    </row>
    <row r="79" spans="1:10" x14ac:dyDescent="0.35">
      <c r="A79" t="s">
        <v>115</v>
      </c>
      <c r="B79" s="11">
        <v>1980</v>
      </c>
      <c r="C79" t="str">
        <f>IF(B79&lt;=500,"Low Price",IF(B79&lt;=1500,"Medium Price","High Price"))</f>
        <v>High Price</v>
      </c>
      <c r="D79" s="3">
        <v>2699</v>
      </c>
      <c r="E79" s="3">
        <f>D79-B79</f>
        <v>719</v>
      </c>
      <c r="F79" s="2">
        <v>0.27</v>
      </c>
      <c r="G79" s="2" t="str">
        <f>IF(F79&lt;0.2,"Low Discount",IF(F79&gt;=0.4,"Medium Discount",IF(F79&gt;40,"High Discount","Medium Discount")))</f>
        <v>Medium Discount</v>
      </c>
      <c r="H79" s="14">
        <v>32</v>
      </c>
      <c r="I79">
        <v>4.5</v>
      </c>
      <c r="J79" t="str">
        <f>IF(I79&lt;3,"Poor",IF(I79&lt;=4,"Average",IF(I79&gt;4.5,"Excellent","Average")))</f>
        <v>Average</v>
      </c>
    </row>
    <row r="80" spans="1:10" x14ac:dyDescent="0.35">
      <c r="A80" t="s">
        <v>347</v>
      </c>
      <c r="B80" s="11">
        <v>501</v>
      </c>
      <c r="C80" t="str">
        <f>IF(B80&lt;=500,"Low Price",IF(B80&lt;=1500,"Medium Price","High Price"))</f>
        <v>Medium Price</v>
      </c>
      <c r="D80" s="3">
        <v>860</v>
      </c>
      <c r="E80" s="3">
        <f>D80-B80</f>
        <v>359</v>
      </c>
      <c r="F80" s="2">
        <v>0.42</v>
      </c>
      <c r="G80" s="2" t="str">
        <f>IF(F80&lt;0.2,"Low Discount",IF(F80&gt;=0.4,"Medium Discount",IF(F80&gt;40,"High Discount","Medium Discount")))</f>
        <v>Medium Discount</v>
      </c>
      <c r="H80" s="14">
        <v>6</v>
      </c>
      <c r="I80">
        <v>4.5</v>
      </c>
      <c r="J80" t="str">
        <f>IF(I80&lt;3,"Poor",IF(I80&lt;=4,"Average",IF(I80&gt;4.5,"Excellent","Average")))</f>
        <v>Average</v>
      </c>
    </row>
    <row r="81" spans="1:10" x14ac:dyDescent="0.35">
      <c r="A81" t="s">
        <v>6</v>
      </c>
      <c r="B81" s="11">
        <v>950</v>
      </c>
      <c r="C81" t="str">
        <f>IF(B81&lt;=500,"Low Price",IF(B81&lt;=1500,"Medium Price","High Price"))</f>
        <v>Medium Price</v>
      </c>
      <c r="D81" s="3">
        <v>1525</v>
      </c>
      <c r="E81" s="3">
        <f>D81-B81</f>
        <v>575</v>
      </c>
      <c r="F81" s="2">
        <v>0.38</v>
      </c>
      <c r="G81" s="2" t="str">
        <f>IF(F81&lt;0.2,"Low Discount",IF(F81&gt;=0.4,"Medium Discount",IF(F81&gt;40,"High Discount","Medium Discount")))</f>
        <v>Medium Discount</v>
      </c>
      <c r="H81" s="14">
        <v>2</v>
      </c>
      <c r="I81">
        <v>4.5</v>
      </c>
      <c r="J81" t="str">
        <f>IF(I81&lt;3,"Poor",IF(I81&lt;=4,"Average",IF(I81&gt;4.5,"Excellent","Average")))</f>
        <v>Average</v>
      </c>
    </row>
    <row r="82" spans="1:10" x14ac:dyDescent="0.35">
      <c r="A82" t="s">
        <v>126</v>
      </c>
      <c r="B82" s="11">
        <v>1800</v>
      </c>
      <c r="C82" t="str">
        <f>IF(B82&lt;=500,"Low Price",IF(B82&lt;=1500,"Medium Price","High Price"))</f>
        <v>High Price</v>
      </c>
      <c r="D82" s="3">
        <v>2700</v>
      </c>
      <c r="E82" s="3">
        <f>D82-B82</f>
        <v>900</v>
      </c>
      <c r="F82" s="2">
        <v>0.38</v>
      </c>
      <c r="G82" s="2" t="str">
        <f>IF(F82&lt;0.2,"Low Discount",IF(F82&gt;=0.4,"Medium Discount",IF(F82&gt;40,"High Discount","Medium Discount")))</f>
        <v>Medium Discount</v>
      </c>
      <c r="H82" s="14">
        <v>2</v>
      </c>
      <c r="I82">
        <v>4.5</v>
      </c>
      <c r="J82" t="str">
        <f>IF(I82&lt;3,"Poor",IF(I82&lt;=4,"Average",IF(I82&gt;4.5,"Excellent","Average")))</f>
        <v>Average</v>
      </c>
    </row>
    <row r="83" spans="1:10" x14ac:dyDescent="0.35">
      <c r="A83" t="s">
        <v>82</v>
      </c>
      <c r="B83" s="11">
        <v>1650</v>
      </c>
      <c r="C83" t="str">
        <f>IF(B83&lt;=500,"Low Price",IF(B83&lt;=1500,"Medium Price","High Price"))</f>
        <v>High Price</v>
      </c>
      <c r="D83" s="3">
        <v>2150</v>
      </c>
      <c r="E83" s="3">
        <f>D83-B83</f>
        <v>500</v>
      </c>
      <c r="F83" s="2">
        <v>0.23</v>
      </c>
      <c r="G83" s="2" t="str">
        <f>IF(F83&lt;0.2,"Low Discount",IF(F83&gt;=0.4,"Medium Discount",IF(F83&gt;40,"High Discount","Medium Discount")))</f>
        <v>Medium Discount</v>
      </c>
      <c r="H83" s="14">
        <v>14</v>
      </c>
      <c r="I83">
        <v>4.4000000000000004</v>
      </c>
      <c r="J83" t="str">
        <f>IF(I83&lt;3,"Poor",IF(I83&lt;=4,"Average",IF(I83&gt;4.5,"Excellent","Average")))</f>
        <v>Average</v>
      </c>
    </row>
    <row r="84" spans="1:10" x14ac:dyDescent="0.35">
      <c r="A84" t="s">
        <v>358</v>
      </c>
      <c r="B84" s="11">
        <v>389</v>
      </c>
      <c r="C84" t="str">
        <f>IF(B84&lt;=500,"Low Price",IF(B84&lt;=1500,"Medium Price","High Price"))</f>
        <v>Low Price</v>
      </c>
      <c r="D84" s="3">
        <v>656</v>
      </c>
      <c r="E84" s="3">
        <f>D84-B84</f>
        <v>267</v>
      </c>
      <c r="F84" s="2">
        <v>0.41</v>
      </c>
      <c r="G84" s="2" t="str">
        <f>IF(F84&lt;0.2,"Low Discount",IF(F84&gt;=0.4,"Medium Discount",IF(F84&gt;40,"High Discount","Medium Discount")))</f>
        <v>Medium Discount</v>
      </c>
      <c r="H84" s="14">
        <v>36</v>
      </c>
      <c r="I84">
        <v>4.3</v>
      </c>
      <c r="J84" t="str">
        <f>IF(I84&lt;3,"Poor",IF(I84&lt;=4,"Average",IF(I84&gt;4.5,"Excellent","Average")))</f>
        <v>Average</v>
      </c>
    </row>
    <row r="85" spans="1:10" x14ac:dyDescent="0.35">
      <c r="A85" t="s">
        <v>103</v>
      </c>
      <c r="B85" s="11">
        <v>185</v>
      </c>
      <c r="C85" t="str">
        <f>IF(B85&lt;=500,"Low Price",IF(B85&lt;=1500,"Medium Price","High Price"))</f>
        <v>Low Price</v>
      </c>
      <c r="D85" s="3">
        <v>382</v>
      </c>
      <c r="E85" s="3">
        <f>D85-B85</f>
        <v>197</v>
      </c>
      <c r="F85" s="2">
        <v>0.52</v>
      </c>
      <c r="G85" s="2" t="str">
        <f>IF(F85&lt;0.2,"Low Discount",IF(F85&gt;=0.4,"Medium Discount",IF(F85&gt;40,"High Discount","Medium Discount")))</f>
        <v>Medium Discount</v>
      </c>
      <c r="H85" s="14">
        <v>9</v>
      </c>
      <c r="I85">
        <v>4.3</v>
      </c>
      <c r="J85" t="str">
        <f>IF(I85&lt;3,"Poor",IF(I85&lt;=4,"Average",IF(I85&gt;4.5,"Excellent","Average")))</f>
        <v>Average</v>
      </c>
    </row>
    <row r="86" spans="1:10" x14ac:dyDescent="0.35">
      <c r="A86" t="s">
        <v>356</v>
      </c>
      <c r="B86" s="11">
        <v>1820</v>
      </c>
      <c r="C86" t="str">
        <f>IF(B86&lt;=500,"Low Price",IF(B86&lt;=1500,"Medium Price","High Price"))</f>
        <v>High Price</v>
      </c>
      <c r="D86" s="3">
        <v>3490</v>
      </c>
      <c r="E86" s="3">
        <f>D86-B86</f>
        <v>1670</v>
      </c>
      <c r="F86" s="2">
        <v>0.48</v>
      </c>
      <c r="G86" s="2" t="str">
        <f>IF(F86&lt;0.2,"Low Discount",IF(F86&gt;=0.4,"Medium Discount",IF(F86&gt;40,"High Discount","Medium Discount")))</f>
        <v>Medium Discount</v>
      </c>
      <c r="H86" s="14">
        <v>9</v>
      </c>
      <c r="I86">
        <v>4.3</v>
      </c>
      <c r="J86" t="str">
        <f>IF(I86&lt;3,"Poor",IF(I86&lt;=4,"Average",IF(I86&gt;4.5,"Excellent","Average")))</f>
        <v>Average</v>
      </c>
    </row>
    <row r="87" spans="1:10" x14ac:dyDescent="0.35">
      <c r="A87" t="s">
        <v>354</v>
      </c>
      <c r="B87" s="11">
        <v>2048</v>
      </c>
      <c r="C87" t="str">
        <f>IF(B87&lt;=500,"Low Price",IF(B87&lt;=1500,"Medium Price","High Price"))</f>
        <v>High Price</v>
      </c>
      <c r="D87" s="3">
        <v>4500</v>
      </c>
      <c r="E87" s="3">
        <f>D87-B87</f>
        <v>2452</v>
      </c>
      <c r="F87" s="2">
        <v>0.54</v>
      </c>
      <c r="G87" s="2" t="str">
        <f>IF(F87&lt;0.2,"Low Discount",IF(F87&gt;=0.4,"Medium Discount",IF(F87&gt;40,"High Discount","Medium Discount")))</f>
        <v>Medium Discount</v>
      </c>
      <c r="H87" s="14">
        <v>7</v>
      </c>
      <c r="I87">
        <v>4.3</v>
      </c>
      <c r="J87" t="str">
        <f>IF(I87&lt;3,"Poor",IF(I87&lt;=4,"Average",IF(I87&gt;4.5,"Excellent","Average")))</f>
        <v>Average</v>
      </c>
    </row>
    <row r="88" spans="1:10" x14ac:dyDescent="0.35">
      <c r="A88" t="s">
        <v>53</v>
      </c>
      <c r="B88" s="11">
        <v>1680</v>
      </c>
      <c r="C88" t="str">
        <f>IF(B88&lt;=500,"Low Price",IF(B88&lt;=1500,"Medium Price","High Price"))</f>
        <v>High Price</v>
      </c>
      <c r="D88" s="3">
        <v>2499</v>
      </c>
      <c r="E88" s="3">
        <f>D88-B88</f>
        <v>819</v>
      </c>
      <c r="F88" s="2">
        <v>0.33</v>
      </c>
      <c r="G88" s="2" t="str">
        <f>IF(F88&lt;0.2,"Low Discount",IF(F88&gt;=0.4,"Medium Discount",IF(F88&gt;40,"High Discount","Medium Discount")))</f>
        <v>Medium Discount</v>
      </c>
      <c r="H88" s="14">
        <v>9</v>
      </c>
      <c r="I88">
        <v>4.2</v>
      </c>
      <c r="J88" t="str">
        <f>IF(I88&lt;3,"Poor",IF(I88&lt;=4,"Average",IF(I88&gt;4.5,"Excellent","Average")))</f>
        <v>Average</v>
      </c>
    </row>
    <row r="89" spans="1:10" x14ac:dyDescent="0.35">
      <c r="A89" t="s">
        <v>98</v>
      </c>
      <c r="B89" s="11">
        <v>1758</v>
      </c>
      <c r="C89" t="str">
        <f>IF(B89&lt;=500,"Low Price",IF(B89&lt;=1500,"Medium Price","High Price"))</f>
        <v>High Price</v>
      </c>
      <c r="D89" s="3">
        <v>2499</v>
      </c>
      <c r="E89" s="3">
        <f>D89-B89</f>
        <v>741</v>
      </c>
      <c r="F89" s="2">
        <v>0.3</v>
      </c>
      <c r="G89" s="2" t="str">
        <f>IF(F89&lt;0.2,"Low Discount",IF(F89&gt;=0.4,"Medium Discount",IF(F89&gt;40,"High Discount","Medium Discount")))</f>
        <v>Medium Discount</v>
      </c>
      <c r="H89" s="14">
        <v>20</v>
      </c>
      <c r="I89">
        <v>4.0999999999999996</v>
      </c>
      <c r="J89" t="str">
        <f>IF(I89&lt;3,"Poor",IF(I89&lt;=4,"Average",IF(I89&gt;4.5,"Excellent","Average")))</f>
        <v>Average</v>
      </c>
    </row>
    <row r="90" spans="1:10" x14ac:dyDescent="0.35">
      <c r="A90" t="s">
        <v>10</v>
      </c>
      <c r="B90" s="11">
        <v>527</v>
      </c>
      <c r="C90" t="str">
        <f>IF(B90&lt;=500,"Low Price",IF(B90&lt;=1500,"Medium Price","High Price"))</f>
        <v>Medium Price</v>
      </c>
      <c r="D90" s="3">
        <v>999</v>
      </c>
      <c r="E90" s="3">
        <f>D90-B90</f>
        <v>472</v>
      </c>
      <c r="F90" s="2">
        <v>0.47</v>
      </c>
      <c r="G90" s="2" t="str">
        <f>IF(F90&lt;0.2,"Low Discount",IF(F90&gt;=0.4,"Medium Discount",IF(F90&gt;40,"High Discount","Medium Discount")))</f>
        <v>Medium Discount</v>
      </c>
      <c r="H90" s="14">
        <v>14</v>
      </c>
      <c r="I90">
        <v>4.0999999999999996</v>
      </c>
      <c r="J90" t="str">
        <f>IF(I90&lt;3,"Poor",IF(I90&lt;=4,"Average",IF(I90&gt;4.5,"Excellent","Average")))</f>
        <v>Average</v>
      </c>
    </row>
    <row r="91" spans="1:10" x14ac:dyDescent="0.35">
      <c r="A91" t="s">
        <v>345</v>
      </c>
      <c r="B91" s="11">
        <v>799</v>
      </c>
      <c r="C91" t="str">
        <f>IF(B91&lt;=500,"Low Price",IF(B91&lt;=1500,"Medium Price","High Price"))</f>
        <v>Medium Price</v>
      </c>
      <c r="D91" s="3">
        <v>999</v>
      </c>
      <c r="E91" s="3">
        <f>D91-B91</f>
        <v>200</v>
      </c>
      <c r="F91" s="2">
        <v>0.2</v>
      </c>
      <c r="G91" s="2" t="str">
        <f>IF(F91&lt;0.2,"Low Discount",IF(F91&gt;=0.4,"Medium Discount",IF(F91&gt;40,"High Discount","Medium Discount")))</f>
        <v>Medium Discount</v>
      </c>
      <c r="H91" s="14">
        <v>12</v>
      </c>
      <c r="I91">
        <v>4.0999999999999996</v>
      </c>
      <c r="J91" t="str">
        <f>IF(I91&lt;3,"Poor",IF(I91&lt;=4,"Average",IF(I91&gt;4.5,"Excellent","Average")))</f>
        <v>Average</v>
      </c>
    </row>
    <row r="92" spans="1:10" x14ac:dyDescent="0.35">
      <c r="A92" t="s">
        <v>26</v>
      </c>
      <c r="B92" s="11">
        <v>2999</v>
      </c>
      <c r="C92" t="str">
        <f>IF(B92&lt;=500,"Low Price",IF(B92&lt;=1500,"Medium Price","High Price"))</f>
        <v>High Price</v>
      </c>
      <c r="D92" s="3">
        <v>3290</v>
      </c>
      <c r="E92" s="3">
        <f>D92-B92</f>
        <v>291</v>
      </c>
      <c r="F92" s="2">
        <v>0.09</v>
      </c>
      <c r="G92" s="2" t="str">
        <f>IF(F92&lt;0.2,"Low Discount",IF(F92&gt;=0.4,"Medium Discount",IF(F92&gt;40,"High Discount","Medium Discount")))</f>
        <v>Low Discount</v>
      </c>
      <c r="H92" s="14">
        <v>15</v>
      </c>
      <c r="I92">
        <v>4</v>
      </c>
      <c r="J92" t="str">
        <f>IF(I92&lt;3,"Poor",IF(I92&lt;=4,"Average",IF(I92&gt;4.5,"Excellent","Average")))</f>
        <v>Average</v>
      </c>
    </row>
    <row r="93" spans="1:10" x14ac:dyDescent="0.35">
      <c r="A93" t="s">
        <v>353</v>
      </c>
      <c r="B93" s="11">
        <v>880</v>
      </c>
      <c r="C93" t="str">
        <f>IF(B93&lt;=500,"Low Price",IF(B93&lt;=1500,"Medium Price","High Price"))</f>
        <v>Medium Price</v>
      </c>
      <c r="D93" s="3">
        <v>1350</v>
      </c>
      <c r="E93" s="3">
        <f>D93-B93</f>
        <v>470</v>
      </c>
      <c r="F93" s="2">
        <v>0.35</v>
      </c>
      <c r="G93" s="2" t="str">
        <f>IF(F93&lt;0.2,"Low Discount",IF(F93&gt;=0.4,"Medium Discount",IF(F93&gt;40,"High Discount","Medium Discount")))</f>
        <v>Medium Discount</v>
      </c>
      <c r="H93" s="14">
        <v>6</v>
      </c>
      <c r="I93">
        <v>4</v>
      </c>
      <c r="J93" t="str">
        <f>IF(I93&lt;3,"Poor",IF(I93&lt;=4,"Average",IF(I93&gt;4.5,"Excellent","Average")))</f>
        <v>Average</v>
      </c>
    </row>
    <row r="94" spans="1:10" x14ac:dyDescent="0.35">
      <c r="A94" t="s">
        <v>33</v>
      </c>
      <c r="B94" s="11">
        <v>988</v>
      </c>
      <c r="C94" t="str">
        <f>IF(B94&lt;=500,"Low Price",IF(B94&lt;=1500,"Medium Price","High Price"))</f>
        <v>Medium Price</v>
      </c>
      <c r="D94" s="3">
        <v>1580</v>
      </c>
      <c r="E94" s="3">
        <f>D94-B94</f>
        <v>592</v>
      </c>
      <c r="F94" s="2">
        <v>0.37</v>
      </c>
      <c r="G94" s="2" t="str">
        <f>IF(F94&lt;0.2,"Low Discount",IF(F94&gt;=0.4,"Medium Discount",IF(F94&gt;40,"High Discount","Medium Discount")))</f>
        <v>Medium Discount</v>
      </c>
      <c r="H94" s="14">
        <v>2</v>
      </c>
      <c r="I94">
        <v>4</v>
      </c>
      <c r="J94" t="str">
        <f>IF(I94&lt;3,"Poor",IF(I94&lt;=4,"Average",IF(I94&gt;4.5,"Excellent","Average")))</f>
        <v>Average</v>
      </c>
    </row>
    <row r="95" spans="1:10" x14ac:dyDescent="0.35">
      <c r="A95" t="s">
        <v>254</v>
      </c>
      <c r="B95" s="11">
        <v>330</v>
      </c>
      <c r="C95" t="str">
        <f>IF(B95&lt;=500,"Low Price",IF(B95&lt;=1500,"Medium Price","High Price"))</f>
        <v>Low Price</v>
      </c>
      <c r="D95" s="3">
        <v>647</v>
      </c>
      <c r="E95" s="3">
        <f>D95-B95</f>
        <v>317</v>
      </c>
      <c r="F95" s="2">
        <v>0.49</v>
      </c>
      <c r="G95" s="2" t="str">
        <f>IF(F95&lt;0.2,"Low Discount",IF(F95&gt;=0.4,"Medium Discount",IF(F95&gt;40,"High Discount","Medium Discount")))</f>
        <v>Medium Discount</v>
      </c>
      <c r="H95" s="14">
        <v>1</v>
      </c>
      <c r="I95">
        <v>4</v>
      </c>
      <c r="J95" t="str">
        <f>IF(I95&lt;3,"Poor",IF(I95&lt;=4,"Average",IF(I95&gt;4.5,"Excellent","Average")))</f>
        <v>Average</v>
      </c>
    </row>
    <row r="96" spans="1:10" x14ac:dyDescent="0.35">
      <c r="A96" t="s">
        <v>96</v>
      </c>
      <c r="B96" s="11">
        <v>1350</v>
      </c>
      <c r="C96" t="str">
        <f>IF(B96&lt;=500,"Low Price",IF(B96&lt;=1500,"Medium Price","High Price"))</f>
        <v>Medium Price</v>
      </c>
      <c r="D96" s="3">
        <v>1990</v>
      </c>
      <c r="E96" s="3">
        <f>D96-B96</f>
        <v>640</v>
      </c>
      <c r="F96" s="2">
        <v>0.32</v>
      </c>
      <c r="G96" s="2" t="str">
        <f>IF(F96&lt;0.2,"Low Discount",IF(F96&gt;=0.4,"Medium Discount",IF(F96&gt;40,"High Discount","Medium Discount")))</f>
        <v>Medium Discount</v>
      </c>
      <c r="H96" s="14">
        <v>13</v>
      </c>
      <c r="I96">
        <v>3.8</v>
      </c>
      <c r="J96" t="str">
        <f>IF(I96&lt;3,"Poor",IF(I96&lt;=4,"Average",IF(I96&gt;4.5,"Excellent","Average")))</f>
        <v>Average</v>
      </c>
    </row>
    <row r="97" spans="1:10" x14ac:dyDescent="0.35">
      <c r="A97" t="s">
        <v>93</v>
      </c>
      <c r="B97" s="11">
        <v>2880</v>
      </c>
      <c r="C97" t="str">
        <f>IF(B97&lt;=500,"Low Price",IF(B97&lt;=1500,"Medium Price","High Price"))</f>
        <v>High Price</v>
      </c>
      <c r="D97" s="3">
        <v>3520</v>
      </c>
      <c r="E97" s="3">
        <f>D97-B97</f>
        <v>640</v>
      </c>
      <c r="F97" s="2">
        <v>0.18</v>
      </c>
      <c r="G97" s="2" t="str">
        <f>IF(F97&lt;0.2,"Low Discount",IF(F97&gt;=0.4,"Medium Discount",IF(F97&gt;40,"High Discount","Medium Discount")))</f>
        <v>Low Discount</v>
      </c>
      <c r="H97" s="14">
        <v>12</v>
      </c>
      <c r="I97">
        <v>3.8</v>
      </c>
      <c r="J97" t="str">
        <f>IF(I97&lt;3,"Poor",IF(I97&lt;=4,"Average",IF(I97&gt;4.5,"Excellent","Average")))</f>
        <v>Average</v>
      </c>
    </row>
    <row r="98" spans="1:10" x14ac:dyDescent="0.35">
      <c r="A98" t="s">
        <v>38</v>
      </c>
      <c r="B98" s="11">
        <v>1600</v>
      </c>
      <c r="C98" t="str">
        <f>IF(B98&lt;=500,"Low Price",IF(B98&lt;=1500,"Medium Price","High Price"))</f>
        <v>High Price</v>
      </c>
      <c r="D98" s="3">
        <v>2929</v>
      </c>
      <c r="E98" s="3">
        <f>D98-B98</f>
        <v>1329</v>
      </c>
      <c r="F98" s="2">
        <v>0.45</v>
      </c>
      <c r="G98" s="2" t="str">
        <f>IF(F98&lt;0.2,"Low Discount",IF(F98&gt;=0.4,"Medium Discount",IF(F98&gt;40,"High Discount","Medium Discount")))</f>
        <v>Medium Discount</v>
      </c>
      <c r="H98" s="14">
        <v>5</v>
      </c>
      <c r="I98">
        <v>3.8</v>
      </c>
      <c r="J98" t="str">
        <f>IF(I98&lt;3,"Poor",IF(I98&lt;=4,"Average",IF(I98&gt;4.5,"Excellent","Average")))</f>
        <v>Average</v>
      </c>
    </row>
    <row r="99" spans="1:10" x14ac:dyDescent="0.35">
      <c r="A99" t="s">
        <v>351</v>
      </c>
      <c r="B99" s="11">
        <v>38</v>
      </c>
      <c r="C99" t="str">
        <f>IF(B99&lt;=500,"Low Price",IF(B99&lt;=1500,"Medium Price","High Price"))</f>
        <v>Low Price</v>
      </c>
      <c r="D99" s="3">
        <v>80</v>
      </c>
      <c r="E99" s="3">
        <f>D99-B99</f>
        <v>42</v>
      </c>
      <c r="F99" s="2">
        <v>0.53</v>
      </c>
      <c r="G99" s="2" t="str">
        <f>IF(F99&lt;0.2,"Low Discount",IF(F99&gt;=0.4,"Medium Discount",IF(F99&gt;40,"High Discount","Medium Discount")))</f>
        <v>Medium Discount</v>
      </c>
      <c r="H99" s="14">
        <v>13</v>
      </c>
      <c r="I99">
        <v>3.3</v>
      </c>
      <c r="J99" t="str">
        <f>IF(I99&lt;3,"Poor",IF(I99&lt;=4,"Average",IF(I99&gt;4.5,"Excellent","Average")))</f>
        <v>Average</v>
      </c>
    </row>
    <row r="100" spans="1:10" x14ac:dyDescent="0.35">
      <c r="A100" t="s">
        <v>366</v>
      </c>
      <c r="B100" s="11">
        <v>458</v>
      </c>
      <c r="C100" t="str">
        <f>IF(B100&lt;=500,"Low Price",IF(B100&lt;=1500,"Medium Price","High Price"))</f>
        <v>Low Price</v>
      </c>
      <c r="D100" s="3">
        <v>986</v>
      </c>
      <c r="E100" s="3">
        <f>D100-B100</f>
        <v>528</v>
      </c>
      <c r="F100" s="2">
        <v>0.54</v>
      </c>
      <c r="G100" s="2" t="str">
        <f>IF(F100&lt;0.2,"Low Discount",IF(F100&gt;=0.4,"Medium Discount",IF(F100&gt;40,"High Discount","Medium Discount")))</f>
        <v>Medium Discount</v>
      </c>
      <c r="H100" s="14">
        <v>10</v>
      </c>
      <c r="I100">
        <v>3</v>
      </c>
      <c r="J100" t="str">
        <f>IF(I100&lt;3,"Poor",IF(I100&lt;=4,"Average",IF(I100&gt;4.5,"Excellent","Average")))</f>
        <v>Average</v>
      </c>
    </row>
    <row r="101" spans="1:10" x14ac:dyDescent="0.35">
      <c r="A101" t="s">
        <v>371</v>
      </c>
      <c r="B101" s="11">
        <v>3750</v>
      </c>
      <c r="C101" t="str">
        <f>IF(B101&lt;=500,"Low Price",IF(B101&lt;=1500,"Medium Price","High Price"))</f>
        <v>High Price</v>
      </c>
      <c r="D101" s="3">
        <v>6143</v>
      </c>
      <c r="E101" s="3">
        <f>D101-B101</f>
        <v>2393</v>
      </c>
      <c r="F101" s="2">
        <v>0.39</v>
      </c>
      <c r="G101" s="2" t="str">
        <f>IF(F101&lt;0.2,"Low Discount",IF(F101&gt;=0.4,"Medium Discount",IF(F101&gt;40,"High Discount","Medium Discount")))</f>
        <v>Medium Discount</v>
      </c>
      <c r="H101" s="14">
        <v>5</v>
      </c>
      <c r="I101">
        <v>3</v>
      </c>
      <c r="J101" t="str">
        <f>IF(I101&lt;3,"Poor",IF(I101&lt;=4,"Average",IF(I101&gt;4.5,"Excellent","Average")))</f>
        <v>Average</v>
      </c>
    </row>
    <row r="102" spans="1:10" x14ac:dyDescent="0.35">
      <c r="A102" t="s">
        <v>372</v>
      </c>
      <c r="B102" s="11">
        <v>2300</v>
      </c>
      <c r="C102" t="str">
        <f>IF(B102&lt;=500,"Low Price",IF(B102&lt;=1500,"Medium Price","High Price"))</f>
        <v>High Price</v>
      </c>
      <c r="D102" s="3">
        <v>3240</v>
      </c>
      <c r="E102" s="3">
        <f>D102-B102</f>
        <v>940</v>
      </c>
      <c r="F102" s="2">
        <v>0.28999999999999998</v>
      </c>
      <c r="G102" s="2" t="str">
        <f>IF(F102&lt;0.2,"Low Discount",IF(F102&gt;=0.4,"Medium Discount",IF(F102&gt;40,"High Discount","Medium Discount")))</f>
        <v>Medium Discount</v>
      </c>
      <c r="H102" s="14">
        <v>5</v>
      </c>
      <c r="I102">
        <v>3</v>
      </c>
      <c r="J102" t="str">
        <f>IF(I102&lt;3,"Poor",IF(I102&lt;=4,"Average",IF(I102&gt;4.5,"Excellent","Average")))</f>
        <v>Average</v>
      </c>
    </row>
    <row r="103" spans="1:10" x14ac:dyDescent="0.35">
      <c r="A103" t="s">
        <v>225</v>
      </c>
      <c r="B103" s="11">
        <v>509</v>
      </c>
      <c r="C103" t="str">
        <f>IF(B103&lt;=500,"Low Price",IF(B103&lt;=1500,"Medium Price","High Price"))</f>
        <v>Medium Price</v>
      </c>
      <c r="D103" s="3">
        <v>899</v>
      </c>
      <c r="E103" s="3">
        <f>D103-B103</f>
        <v>390</v>
      </c>
      <c r="F103" s="2">
        <v>0.43</v>
      </c>
      <c r="G103" s="2" t="str">
        <f>IF(F103&lt;0.2,"Low Discount",IF(F103&gt;=0.4,"Medium Discount",IF(F103&gt;40,"High Discount","Medium Discount")))</f>
        <v>Medium Discount</v>
      </c>
      <c r="H103" s="14">
        <v>5</v>
      </c>
      <c r="I103">
        <v>3</v>
      </c>
      <c r="J103" t="str">
        <f>IF(I103&lt;3,"Poor",IF(I103&lt;=4,"Average",IF(I103&gt;4.5,"Excellent","Average")))</f>
        <v>Average</v>
      </c>
    </row>
    <row r="104" spans="1:10" x14ac:dyDescent="0.35">
      <c r="A104" t="s">
        <v>378</v>
      </c>
      <c r="B104" s="11">
        <v>1189</v>
      </c>
      <c r="C104" t="str">
        <f>IF(B104&lt;=500,"Low Price",IF(B104&lt;=1500,"Medium Price","High Price"))</f>
        <v>Medium Price</v>
      </c>
      <c r="D104" s="3">
        <v>2199</v>
      </c>
      <c r="E104" s="3">
        <f>D104-B104</f>
        <v>1010</v>
      </c>
      <c r="F104" s="2">
        <v>0.46</v>
      </c>
      <c r="G104" s="2" t="str">
        <f>IF(F104&lt;0.2,"Low Discount",IF(F104&gt;=0.4,"Medium Discount",IF(F104&gt;40,"High Discount","Medium Discount")))</f>
        <v>Medium Discount</v>
      </c>
      <c r="H104" s="14">
        <v>1</v>
      </c>
      <c r="I104">
        <v>3</v>
      </c>
      <c r="J104" t="str">
        <f>IF(I104&lt;3,"Poor",IF(I104&lt;=4,"Average",IF(I104&gt;4.5,"Excellent","Average")))</f>
        <v>Average</v>
      </c>
    </row>
    <row r="105" spans="1:10" x14ac:dyDescent="0.35">
      <c r="A105" t="s">
        <v>369</v>
      </c>
      <c r="B105" s="11">
        <v>1220</v>
      </c>
      <c r="C105" t="str">
        <f>IF(B105&lt;=500,"Low Price",IF(B105&lt;=1500,"Medium Price","High Price"))</f>
        <v>Medium Price</v>
      </c>
      <c r="D105" s="3">
        <v>1555</v>
      </c>
      <c r="E105" s="3">
        <f>D105-B105</f>
        <v>335</v>
      </c>
      <c r="F105" s="2">
        <v>0.22</v>
      </c>
      <c r="G105" s="2" t="str">
        <f>IF(F105&lt;0.2,"Low Discount",IF(F105&gt;=0.4,"Medium Discount",IF(F105&gt;40,"High Discount","Medium Discount")))</f>
        <v>Medium Discount</v>
      </c>
      <c r="H105" s="14">
        <v>16</v>
      </c>
      <c r="I105">
        <v>2.9</v>
      </c>
      <c r="J105" t="str">
        <f>IF(I105&lt;3,"Poor",IF(I105&lt;=4,"Average",IF(I105&gt;4.5,"Excellent","Average")))</f>
        <v>Poor</v>
      </c>
    </row>
    <row r="106" spans="1:10" x14ac:dyDescent="0.35">
      <c r="A106" t="s">
        <v>195</v>
      </c>
      <c r="B106" s="11">
        <v>445</v>
      </c>
      <c r="C106" t="str">
        <f>IF(B106&lt;=500,"Low Price",IF(B106&lt;=1500,"Medium Price","High Price"))</f>
        <v>Low Price</v>
      </c>
      <c r="D106" s="3">
        <v>873</v>
      </c>
      <c r="E106" s="3">
        <f>D106-B106</f>
        <v>428</v>
      </c>
      <c r="F106" s="2">
        <v>0.49</v>
      </c>
      <c r="G106" s="2" t="str">
        <f>IF(F106&lt;0.2,"Low Discount",IF(F106&gt;=0.4,"Medium Discount",IF(F106&gt;40,"High Discount","Medium Discount")))</f>
        <v>Medium Discount</v>
      </c>
      <c r="H106" s="14">
        <v>69</v>
      </c>
      <c r="I106">
        <v>2.8</v>
      </c>
      <c r="J106" t="str">
        <f>IF(I106&lt;3,"Poor",IF(I106&lt;=4,"Average",IF(I106&gt;4.5,"Excellent","Average")))</f>
        <v>Poor</v>
      </c>
    </row>
    <row r="107" spans="1:10" x14ac:dyDescent="0.35">
      <c r="A107" t="s">
        <v>368</v>
      </c>
      <c r="B107" s="11">
        <v>325</v>
      </c>
      <c r="C107" t="str">
        <f>IF(B107&lt;=500,"Low Price",IF(B107&lt;=1500,"Medium Price","High Price"))</f>
        <v>Low Price</v>
      </c>
      <c r="D107" s="3">
        <v>680</v>
      </c>
      <c r="E107" s="3">
        <f>D107-B107</f>
        <v>355</v>
      </c>
      <c r="F107" s="2">
        <v>0.52</v>
      </c>
      <c r="G107" s="2" t="str">
        <f>IF(F107&lt;0.2,"Low Discount",IF(F107&gt;=0.4,"Medium Discount",IF(F107&gt;40,"High Discount","Medium Discount")))</f>
        <v>Medium Discount</v>
      </c>
      <c r="H107" s="14">
        <v>15</v>
      </c>
      <c r="I107">
        <v>2.7</v>
      </c>
      <c r="J107" t="str">
        <f>IF(I107&lt;3,"Poor",IF(I107&lt;=4,"Average",IF(I107&gt;4.5,"Excellent","Average")))</f>
        <v>Poor</v>
      </c>
    </row>
    <row r="108" spans="1:10" x14ac:dyDescent="0.35">
      <c r="A108" t="s">
        <v>216</v>
      </c>
      <c r="B108" s="11">
        <v>382</v>
      </c>
      <c r="C108" t="str">
        <f>IF(B108&lt;=500,"Low Price",IF(B108&lt;=1500,"Medium Price","High Price"))</f>
        <v>Low Price</v>
      </c>
      <c r="D108" s="3">
        <v>700</v>
      </c>
      <c r="E108" s="3">
        <f>D108-B108</f>
        <v>318</v>
      </c>
      <c r="F108" s="2">
        <v>0.45</v>
      </c>
      <c r="G108" s="2" t="str">
        <f>IF(F108&lt;0.2,"Low Discount",IF(F108&gt;=0.4,"Medium Discount",IF(F108&gt;40,"High Discount","Medium Discount")))</f>
        <v>Medium Discount</v>
      </c>
      <c r="H108" s="14">
        <v>17</v>
      </c>
      <c r="I108">
        <v>2.6</v>
      </c>
      <c r="J108" t="str">
        <f>IF(I108&lt;3,"Poor",IF(I108&lt;=4,"Average",IF(I108&gt;4.5,"Excellent","Average")))</f>
        <v>Poor</v>
      </c>
    </row>
    <row r="109" spans="1:10" x14ac:dyDescent="0.35">
      <c r="A109" t="s">
        <v>365</v>
      </c>
      <c r="B109" s="11">
        <v>2170</v>
      </c>
      <c r="C109" t="str">
        <f>IF(B109&lt;=500,"Low Price",IF(B109&lt;=1500,"Medium Price","High Price"))</f>
        <v>High Price</v>
      </c>
      <c r="D109" s="3">
        <v>2500</v>
      </c>
      <c r="E109" s="3">
        <f>D109-B109</f>
        <v>330</v>
      </c>
      <c r="F109" s="2">
        <v>0.13</v>
      </c>
      <c r="G109" s="2" t="str">
        <f>IF(F109&lt;0.2,"Low Discount",IF(F109&gt;=0.4,"Medium Discount",IF(F109&gt;40,"High Discount","Medium Discount")))</f>
        <v>Low Discount</v>
      </c>
      <c r="H109" s="14">
        <v>6</v>
      </c>
      <c r="I109">
        <v>2.5</v>
      </c>
      <c r="J109" t="str">
        <f>IF(I109&lt;3,"Poor",IF(I109&lt;=4,"Average",IF(I109&gt;4.5,"Excellent","Average")))</f>
        <v>Poor</v>
      </c>
    </row>
    <row r="110" spans="1:10" x14ac:dyDescent="0.35">
      <c r="A110" t="s">
        <v>370</v>
      </c>
      <c r="B110" s="11">
        <v>1000</v>
      </c>
      <c r="C110" t="str">
        <f>IF(B110&lt;=500,"Low Price",IF(B110&lt;=1500,"Medium Price","High Price"))</f>
        <v>Medium Price</v>
      </c>
      <c r="D110" s="3">
        <v>2000</v>
      </c>
      <c r="E110" s="3">
        <f>D110-B110</f>
        <v>1000</v>
      </c>
      <c r="F110" s="2">
        <v>0.5</v>
      </c>
      <c r="G110" s="2" t="str">
        <f>IF(F110&lt;0.2,"Low Discount",IF(F110&gt;=0.4,"Medium Discount",IF(F110&gt;40,"High Discount","Medium Discount")))</f>
        <v>Medium Discount</v>
      </c>
      <c r="H110" s="14">
        <v>7</v>
      </c>
      <c r="I110">
        <v>2.2999999999999998</v>
      </c>
      <c r="J110" t="str">
        <f>IF(I110&lt;3,"Poor",IF(I110&lt;=4,"Average",IF(I110&gt;4.5,"Excellent","Average")))</f>
        <v>Poor</v>
      </c>
    </row>
    <row r="111" spans="1:10" x14ac:dyDescent="0.35">
      <c r="A111" t="s">
        <v>222</v>
      </c>
      <c r="B111" s="11">
        <v>345</v>
      </c>
      <c r="C111" t="str">
        <f>IF(B111&lt;=500,"Low Price",IF(B111&lt;=1500,"Medium Price","High Price"))</f>
        <v>Low Price</v>
      </c>
      <c r="D111" s="3">
        <v>602</v>
      </c>
      <c r="E111" s="3">
        <f>D111-B111</f>
        <v>257</v>
      </c>
      <c r="F111" s="2">
        <v>0.43</v>
      </c>
      <c r="G111" s="2" t="str">
        <f>IF(F111&lt;0.2,"Low Discount",IF(F111&gt;=0.4,"Medium Discount",IF(F111&gt;40,"High Discount","Medium Discount")))</f>
        <v>Medium Discount</v>
      </c>
      <c r="H111" s="14">
        <v>6</v>
      </c>
      <c r="I111">
        <v>2.2999999999999998</v>
      </c>
      <c r="J111" t="str">
        <f>IF(I111&lt;3,"Poor",IF(I111&lt;=4,"Average",IF(I111&gt;4.5,"Excellent","Average")))</f>
        <v>Poor</v>
      </c>
    </row>
    <row r="112" spans="1:10" x14ac:dyDescent="0.35">
      <c r="A112" t="s">
        <v>207</v>
      </c>
      <c r="B112" s="11">
        <v>990</v>
      </c>
      <c r="C112" t="str">
        <f>IF(B112&lt;=500,"Low Price",IF(B112&lt;=1500,"Medium Price","High Price"))</f>
        <v>Medium Price</v>
      </c>
      <c r="D112" s="3">
        <v>1814</v>
      </c>
      <c r="E112" s="3">
        <f>D112-B112</f>
        <v>824</v>
      </c>
      <c r="F112" s="2">
        <v>0.45</v>
      </c>
      <c r="G112" s="2" t="str">
        <f>IF(F112&lt;0.2,"Low Discount",IF(F112&gt;=0.4,"Medium Discount",IF(F112&gt;40,"High Discount","Medium Discount")))</f>
        <v>Medium Discount</v>
      </c>
      <c r="H112" s="14">
        <v>6</v>
      </c>
      <c r="I112">
        <v>2.2000000000000002</v>
      </c>
      <c r="J112" t="str">
        <f>IF(I112&lt;3,"Poor",IF(I112&lt;=4,"Average",IF(I112&gt;4.5,"Excellent","Average")))</f>
        <v>Poor</v>
      </c>
    </row>
    <row r="113" spans="1:10" x14ac:dyDescent="0.35">
      <c r="A113" t="s">
        <v>373</v>
      </c>
      <c r="B113" s="11">
        <v>968</v>
      </c>
      <c r="C113" t="str">
        <f>IF(B113&lt;=500,"Low Price",IF(B113&lt;=1500,"Medium Price","High Price"))</f>
        <v>Medium Price</v>
      </c>
      <c r="D113" s="3">
        <v>1814</v>
      </c>
      <c r="E113" s="3">
        <f>D113-B113</f>
        <v>846</v>
      </c>
      <c r="F113" s="2">
        <v>0.47</v>
      </c>
      <c r="G113" s="2" t="str">
        <f>IF(F113&lt;0.2,"Low Discount",IF(F113&gt;=0.4,"Medium Discount",IF(F113&gt;40,"High Discount","Medium Discount")))</f>
        <v>Medium Discount</v>
      </c>
      <c r="H113" s="14">
        <v>6</v>
      </c>
      <c r="I113">
        <v>2.2000000000000002</v>
      </c>
      <c r="J113" t="str">
        <f>IF(I113&lt;3,"Poor",IF(I113&lt;=4,"Average",IF(I113&gt;4.5,"Excellent","Average")))</f>
        <v>Poor</v>
      </c>
    </row>
    <row r="114" spans="1:10" x14ac:dyDescent="0.35">
      <c r="A114" t="s">
        <v>367</v>
      </c>
      <c r="B114" s="11">
        <v>2115</v>
      </c>
      <c r="C114" t="str">
        <f>IF(B114&lt;=500,"Low Price",IF(B114&lt;=1500,"Medium Price","High Price"))</f>
        <v>High Price</v>
      </c>
      <c r="D114" s="3">
        <v>4700</v>
      </c>
      <c r="E114" s="3">
        <f>D114-B114</f>
        <v>2585</v>
      </c>
      <c r="F114" s="2">
        <v>0.55000000000000004</v>
      </c>
      <c r="G114" s="2" t="str">
        <f>IF(F114&lt;0.2,"Low Discount",IF(F114&gt;=0.4,"Medium Discount",IF(F114&gt;40,"High Discount","Medium Discount")))</f>
        <v>Medium Discount</v>
      </c>
      <c r="H114" s="14">
        <v>13</v>
      </c>
      <c r="I114">
        <v>2.1</v>
      </c>
      <c r="J114" t="str">
        <f>IF(I114&lt;3,"Poor",IF(I114&lt;=4,"Average",IF(I114&gt;4.5,"Excellent","Average")))</f>
        <v>Poor</v>
      </c>
    </row>
    <row r="115" spans="1:10" x14ac:dyDescent="0.35">
      <c r="A115" t="s">
        <v>374</v>
      </c>
      <c r="B115" s="11">
        <v>1570</v>
      </c>
      <c r="C115" t="str">
        <f>IF(B115&lt;=500,"Low Price",IF(B115&lt;=1500,"Medium Price","High Price"))</f>
        <v>High Price</v>
      </c>
      <c r="D115" s="3">
        <v>2988</v>
      </c>
      <c r="E115" s="3">
        <f>D115-B115</f>
        <v>1418</v>
      </c>
      <c r="F115" s="2">
        <v>0.47</v>
      </c>
      <c r="G115" s="2" t="str">
        <f>IF(F115&lt;0.2,"Low Discount",IF(F115&gt;=0.4,"Medium Discount",IF(F115&gt;40,"High Discount","Medium Discount")))</f>
        <v>Medium Discount</v>
      </c>
      <c r="H115" s="14">
        <v>7</v>
      </c>
      <c r="I115">
        <v>2.1</v>
      </c>
      <c r="J115" t="str">
        <f>IF(I115&lt;3,"Poor",IF(I115&lt;=4,"Average",IF(I115&gt;4.5,"Excellent","Average")))</f>
        <v>Poor</v>
      </c>
    </row>
    <row r="116" spans="1:10" x14ac:dyDescent="0.35">
      <c r="A116" t="s">
        <v>389</v>
      </c>
      <c r="B116" s="11">
        <v>450</v>
      </c>
      <c r="C116" t="str">
        <f>IF(B116&lt;=500,"Low Price",IF(B116&lt;=1500,"Medium Price","High Price"))</f>
        <v>Low Price</v>
      </c>
      <c r="D116" s="3">
        <v>900</v>
      </c>
      <c r="E116" s="3">
        <f>D116-B116</f>
        <v>450</v>
      </c>
      <c r="F116" s="2">
        <v>0.5</v>
      </c>
      <c r="G116" s="2" t="str">
        <f>IF(F116&lt;0.2,"Low Discount",IF(F116&gt;=0.4,"Medium Discount",IF(F116&gt;40,"High Discount","Medium Discount")))</f>
        <v>Medium Discount</v>
      </c>
      <c r="H116" s="14">
        <v>1</v>
      </c>
      <c r="I116">
        <v>2</v>
      </c>
      <c r="J116" t="str">
        <f>IF(I116&lt;3,"Poor",IF(I116&lt;=4,"Average",IF(I116&gt;4.5,"Excellent","Average")))</f>
        <v>Poor</v>
      </c>
    </row>
    <row r="117" spans="1:10" x14ac:dyDescent="0.35">
      <c r="C117" t="str">
        <f>IF(B117&lt;=500,"Low Price",IF(B117&lt;=1500,"Medium Price","High Price"))</f>
        <v>Low Price</v>
      </c>
      <c r="E117" s="3">
        <f>D117-B117</f>
        <v>0</v>
      </c>
      <c r="F117" s="2">
        <v>0.47</v>
      </c>
      <c r="G117" s="2" t="str">
        <f>IF(F117&lt;0.2,"Low Discount",IF(F117&gt;=0.4,"Medium Discount",IF(F117&gt;40,"High Discount","Medium Discount")))</f>
        <v>Medium Discount</v>
      </c>
      <c r="J117" t="str">
        <f>IF(I117&lt;3,"Poor",IF(I117&lt;=4,"Average",IF(I117&gt;4.5,"Excellent","Average")))</f>
        <v>Poor</v>
      </c>
    </row>
    <row r="118" spans="1:10" x14ac:dyDescent="0.35">
      <c r="C118" t="str">
        <f>IF(B118&lt;=500,"Low Price",IF(B118&lt;=1500,"Medium Price","High Price"))</f>
        <v>Low Price</v>
      </c>
      <c r="E118" s="3">
        <f>D118-B118</f>
        <v>0</v>
      </c>
      <c r="F118" s="2">
        <v>0.47</v>
      </c>
      <c r="G118" s="2" t="str">
        <f>IF(F118&lt;0.2,"Low Discount",IF(F118&gt;=0.4,"Medium Discount",IF(F118&gt;40,"High Discount","Medium Discount")))</f>
        <v>Medium Discount</v>
      </c>
      <c r="J118" t="str">
        <f>IF(I118&lt;3,"Poor",IF(I118&lt;=4,"Average",IF(I118&gt;4.5,"Excellent","Average")))</f>
        <v>Poor</v>
      </c>
    </row>
    <row r="120" spans="1:10" x14ac:dyDescent="0.35">
      <c r="A120" s="4" t="s">
        <v>390</v>
      </c>
      <c r="B120" s="19">
        <v>1174.3565217391304</v>
      </c>
      <c r="C120" s="4"/>
      <c r="D120" s="20">
        <v>1797.0695652173913</v>
      </c>
      <c r="E120" s="20"/>
      <c r="F120" s="22">
        <v>0.36956521739130432</v>
      </c>
      <c r="G120" s="22"/>
      <c r="H120" s="21">
        <v>6.2869565217391301</v>
      </c>
      <c r="I120" s="4">
        <v>3.8894736842105258</v>
      </c>
    </row>
    <row r="121" spans="1:10" x14ac:dyDescent="0.35">
      <c r="A121" s="4" t="s">
        <v>391</v>
      </c>
      <c r="B121" s="19">
        <v>3750</v>
      </c>
      <c r="C121" s="4"/>
      <c r="D121" s="20">
        <v>6143</v>
      </c>
      <c r="E121" s="20"/>
      <c r="F121" s="22">
        <v>0.64</v>
      </c>
      <c r="G121" s="22"/>
      <c r="H121" s="21">
        <v>69</v>
      </c>
      <c r="I121" s="4">
        <v>5</v>
      </c>
    </row>
    <row r="122" spans="1:10" x14ac:dyDescent="0.35">
      <c r="A122" s="4" t="s">
        <v>392</v>
      </c>
      <c r="B122" s="19">
        <v>38</v>
      </c>
      <c r="C122" s="4"/>
      <c r="D122" s="20">
        <v>80</v>
      </c>
      <c r="E122" s="20"/>
      <c r="F122" s="22">
        <v>0.01</v>
      </c>
      <c r="G122" s="22"/>
      <c r="H122" s="21">
        <v>0</v>
      </c>
      <c r="I122" s="4">
        <v>2</v>
      </c>
    </row>
    <row r="123" spans="1:10" x14ac:dyDescent="0.35">
      <c r="A123" s="4"/>
      <c r="B123" s="19"/>
      <c r="C123" s="4"/>
      <c r="D123" s="20"/>
      <c r="E123" s="20"/>
      <c r="F123" s="22"/>
      <c r="G123" s="22"/>
      <c r="H123" s="21"/>
      <c r="I123" s="4"/>
    </row>
    <row r="124" spans="1:10" x14ac:dyDescent="0.35">
      <c r="A124" s="4"/>
      <c r="B124" s="19"/>
      <c r="C124" s="4"/>
      <c r="D124" s="20"/>
      <c r="E124" s="20"/>
      <c r="F124" s="22"/>
      <c r="G124" s="22"/>
      <c r="H124" s="21"/>
      <c r="I124" s="4"/>
    </row>
    <row r="125" spans="1:10" x14ac:dyDescent="0.35">
      <c r="A125" s="4" t="s">
        <v>404</v>
      </c>
      <c r="B125" s="23">
        <f>COUNTA(A2:A116)</f>
        <v>115</v>
      </c>
      <c r="C125" s="4"/>
      <c r="D125" s="20"/>
      <c r="E125" s="20"/>
      <c r="F125" s="22"/>
      <c r="G125" s="22"/>
      <c r="H125" s="21">
        <f>COUNTA(H2:H116)</f>
        <v>115</v>
      </c>
      <c r="I125"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54A1-6E06-4C6F-8D13-4312019C76F5}">
  <dimension ref="A3:B14"/>
  <sheetViews>
    <sheetView workbookViewId="0">
      <selection activeCell="M21" sqref="M21"/>
    </sheetView>
  </sheetViews>
  <sheetFormatPr defaultRowHeight="14.5" x14ac:dyDescent="0.35"/>
  <cols>
    <col min="1" max="1" width="12.6328125" bestFit="1" customWidth="1"/>
    <col min="2" max="2" width="17.81640625" bestFit="1" customWidth="1"/>
    <col min="3" max="3" width="18.08984375" bestFit="1" customWidth="1"/>
  </cols>
  <sheetData>
    <row r="3" spans="1:2" x14ac:dyDescent="0.35">
      <c r="A3" s="5" t="s">
        <v>393</v>
      </c>
      <c r="B3" t="s">
        <v>397</v>
      </c>
    </row>
    <row r="4" spans="1:2" x14ac:dyDescent="0.35">
      <c r="A4" s="6">
        <v>2.6</v>
      </c>
      <c r="B4" s="1">
        <v>17</v>
      </c>
    </row>
    <row r="5" spans="1:2" x14ac:dyDescent="0.35">
      <c r="A5" s="6">
        <v>2.7</v>
      </c>
      <c r="B5" s="1">
        <v>15</v>
      </c>
    </row>
    <row r="6" spans="1:2" x14ac:dyDescent="0.35">
      <c r="A6" s="6">
        <v>2.8</v>
      </c>
      <c r="B6" s="1">
        <v>69</v>
      </c>
    </row>
    <row r="7" spans="1:2" x14ac:dyDescent="0.35">
      <c r="A7" s="6">
        <v>2.9</v>
      </c>
      <c r="B7" s="1">
        <v>16</v>
      </c>
    </row>
    <row r="8" spans="1:2" x14ac:dyDescent="0.35">
      <c r="A8" s="6">
        <v>3.3</v>
      </c>
      <c r="B8" s="1">
        <v>13</v>
      </c>
    </row>
    <row r="9" spans="1:2" x14ac:dyDescent="0.35">
      <c r="A9" s="6">
        <v>4.0999999999999996</v>
      </c>
      <c r="B9" s="1">
        <v>15.333333333333334</v>
      </c>
    </row>
    <row r="10" spans="1:2" x14ac:dyDescent="0.35">
      <c r="A10" s="6">
        <v>4.3</v>
      </c>
      <c r="B10" s="1">
        <v>15.25</v>
      </c>
    </row>
    <row r="11" spans="1:2" x14ac:dyDescent="0.35">
      <c r="A11" s="6">
        <v>4.4000000000000004</v>
      </c>
      <c r="B11" s="1">
        <v>14</v>
      </c>
    </row>
    <row r="12" spans="1:2" x14ac:dyDescent="0.35">
      <c r="A12" s="6">
        <v>4.5999999999999996</v>
      </c>
      <c r="B12" s="1">
        <v>35.4</v>
      </c>
    </row>
    <row r="13" spans="1:2" x14ac:dyDescent="0.35">
      <c r="A13" s="6">
        <v>4.7</v>
      </c>
      <c r="B13" s="1">
        <v>19.5</v>
      </c>
    </row>
    <row r="14" spans="1:2" x14ac:dyDescent="0.35">
      <c r="A14" s="6" t="s">
        <v>395</v>
      </c>
      <c r="B14" s="1">
        <v>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CC6C-7AD9-4D8E-A517-B0307A92AB54}">
  <dimension ref="A3:B17"/>
  <sheetViews>
    <sheetView workbookViewId="0">
      <selection activeCell="R23" sqref="R22:R23"/>
    </sheetView>
  </sheetViews>
  <sheetFormatPr defaultRowHeight="14.5" x14ac:dyDescent="0.35"/>
  <cols>
    <col min="1" max="1" width="12.6328125" bestFit="1" customWidth="1"/>
    <col min="2" max="2" width="17.81640625" bestFit="1" customWidth="1"/>
  </cols>
  <sheetData>
    <row r="3" spans="1:2" x14ac:dyDescent="0.35">
      <c r="A3" s="5" t="s">
        <v>393</v>
      </c>
      <c r="B3" t="s">
        <v>397</v>
      </c>
    </row>
    <row r="4" spans="1:2" x14ac:dyDescent="0.35">
      <c r="A4" s="6">
        <v>0.09</v>
      </c>
      <c r="B4" s="1">
        <v>15</v>
      </c>
    </row>
    <row r="5" spans="1:2" x14ac:dyDescent="0.35">
      <c r="A5" s="6">
        <v>0.18</v>
      </c>
      <c r="B5" s="1">
        <v>12</v>
      </c>
    </row>
    <row r="6" spans="1:2" x14ac:dyDescent="0.35">
      <c r="A6" s="6">
        <v>0.2</v>
      </c>
      <c r="B6" s="1">
        <v>12</v>
      </c>
    </row>
    <row r="7" spans="1:2" x14ac:dyDescent="0.35">
      <c r="A7" s="6">
        <v>0.23</v>
      </c>
      <c r="B7" s="1">
        <v>14</v>
      </c>
    </row>
    <row r="8" spans="1:2" x14ac:dyDescent="0.35">
      <c r="A8" s="6">
        <v>0.24</v>
      </c>
      <c r="B8" s="1">
        <v>27.5</v>
      </c>
    </row>
    <row r="9" spans="1:2" x14ac:dyDescent="0.35">
      <c r="A9" s="6">
        <v>0.25</v>
      </c>
      <c r="B9" s="1">
        <v>24</v>
      </c>
    </row>
    <row r="10" spans="1:2" x14ac:dyDescent="0.35">
      <c r="A10" s="6">
        <v>0.27</v>
      </c>
      <c r="B10" s="1">
        <v>17.333333333333332</v>
      </c>
    </row>
    <row r="11" spans="1:2" x14ac:dyDescent="0.35">
      <c r="A11" s="6">
        <v>0.3</v>
      </c>
      <c r="B11" s="1">
        <v>20</v>
      </c>
    </row>
    <row r="12" spans="1:2" x14ac:dyDescent="0.35">
      <c r="A12" s="6">
        <v>0.32</v>
      </c>
      <c r="B12" s="1">
        <v>13</v>
      </c>
    </row>
    <row r="13" spans="1:2" x14ac:dyDescent="0.35">
      <c r="A13" s="6">
        <v>0.34</v>
      </c>
      <c r="B13" s="1">
        <v>12.75</v>
      </c>
    </row>
    <row r="14" spans="1:2" x14ac:dyDescent="0.35">
      <c r="A14" s="6">
        <v>0.35</v>
      </c>
      <c r="B14" s="1">
        <v>27.5</v>
      </c>
    </row>
    <row r="15" spans="1:2" x14ac:dyDescent="0.35">
      <c r="A15" s="6">
        <v>0.41</v>
      </c>
      <c r="B15" s="1">
        <v>12</v>
      </c>
    </row>
    <row r="16" spans="1:2" x14ac:dyDescent="0.35">
      <c r="A16" s="6">
        <v>0.52</v>
      </c>
      <c r="B16" s="1">
        <v>12</v>
      </c>
    </row>
    <row r="17" spans="1:2" x14ac:dyDescent="0.35">
      <c r="A17" s="6" t="s">
        <v>395</v>
      </c>
      <c r="B17" s="1">
        <v>16.652173913043477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9AFF6-6255-428B-A3DF-FE3293221DD2}">
  <dimension ref="A3:B14"/>
  <sheetViews>
    <sheetView workbookViewId="0">
      <selection activeCell="L14" sqref="L14"/>
    </sheetView>
  </sheetViews>
  <sheetFormatPr defaultRowHeight="14.5" x14ac:dyDescent="0.35"/>
  <cols>
    <col min="1" max="1" width="12.6328125" bestFit="1" customWidth="1"/>
    <col min="2" max="2" width="17.81640625" bestFit="1" customWidth="1"/>
  </cols>
  <sheetData>
    <row r="3" spans="1:2" x14ac:dyDescent="0.35">
      <c r="A3" s="5" t="s">
        <v>393</v>
      </c>
      <c r="B3" t="s">
        <v>397</v>
      </c>
    </row>
    <row r="4" spans="1:2" x14ac:dyDescent="0.35">
      <c r="A4" s="6">
        <v>2.6</v>
      </c>
      <c r="B4" s="1">
        <v>17</v>
      </c>
    </row>
    <row r="5" spans="1:2" x14ac:dyDescent="0.35">
      <c r="A5" s="6">
        <v>2.7</v>
      </c>
      <c r="B5" s="1">
        <v>15</v>
      </c>
    </row>
    <row r="6" spans="1:2" x14ac:dyDescent="0.35">
      <c r="A6" s="6">
        <v>2.8</v>
      </c>
      <c r="B6" s="1">
        <v>69</v>
      </c>
    </row>
    <row r="7" spans="1:2" x14ac:dyDescent="0.35">
      <c r="A7" s="6">
        <v>2.9</v>
      </c>
      <c r="B7" s="1">
        <v>16</v>
      </c>
    </row>
    <row r="8" spans="1:2" x14ac:dyDescent="0.35">
      <c r="A8" s="6">
        <v>3.3</v>
      </c>
      <c r="B8" s="1">
        <v>13</v>
      </c>
    </row>
    <row r="9" spans="1:2" x14ac:dyDescent="0.35">
      <c r="A9" s="6">
        <v>4.0999999999999996</v>
      </c>
      <c r="B9" s="1">
        <v>15.333333333333334</v>
      </c>
    </row>
    <row r="10" spans="1:2" x14ac:dyDescent="0.35">
      <c r="A10" s="6">
        <v>4.3</v>
      </c>
      <c r="B10" s="1">
        <v>15.25</v>
      </c>
    </row>
    <row r="11" spans="1:2" x14ac:dyDescent="0.35">
      <c r="A11" s="6">
        <v>4.4000000000000004</v>
      </c>
      <c r="B11" s="1">
        <v>14</v>
      </c>
    </row>
    <row r="12" spans="1:2" x14ac:dyDescent="0.35">
      <c r="A12" s="6">
        <v>4.5999999999999996</v>
      </c>
      <c r="B12" s="1">
        <v>35.4</v>
      </c>
    </row>
    <row r="13" spans="1:2" x14ac:dyDescent="0.35">
      <c r="A13" s="6">
        <v>4.7</v>
      </c>
      <c r="B13" s="1">
        <v>19.5</v>
      </c>
    </row>
    <row r="14" spans="1:2" x14ac:dyDescent="0.35">
      <c r="A14" s="6" t="s">
        <v>395</v>
      </c>
      <c r="B14" s="1">
        <v>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9C16-BEEE-41D5-86D3-947ED47CAD3A}">
  <dimension ref="A3:B28"/>
  <sheetViews>
    <sheetView tabSelected="1" workbookViewId="0">
      <selection activeCell="A5" sqref="A5"/>
    </sheetView>
  </sheetViews>
  <sheetFormatPr defaultRowHeight="14.5" x14ac:dyDescent="0.35"/>
  <cols>
    <col min="1" max="1" width="12.6328125" bestFit="1" customWidth="1"/>
    <col min="2" max="2" width="15.26953125" bestFit="1" customWidth="1"/>
  </cols>
  <sheetData>
    <row r="3" spans="1:2" x14ac:dyDescent="0.35">
      <c r="A3" s="5" t="s">
        <v>393</v>
      </c>
      <c r="B3" t="s">
        <v>396</v>
      </c>
    </row>
    <row r="4" spans="1:2" x14ac:dyDescent="0.35">
      <c r="A4" s="6">
        <v>2</v>
      </c>
      <c r="B4" s="1">
        <v>1</v>
      </c>
    </row>
    <row r="5" spans="1:2" x14ac:dyDescent="0.35">
      <c r="A5" s="6">
        <v>2.1</v>
      </c>
      <c r="B5" s="1">
        <v>2</v>
      </c>
    </row>
    <row r="6" spans="1:2" x14ac:dyDescent="0.35">
      <c r="A6" s="6">
        <v>2.2000000000000002</v>
      </c>
      <c r="B6" s="1">
        <v>2</v>
      </c>
    </row>
    <row r="7" spans="1:2" x14ac:dyDescent="0.35">
      <c r="A7" s="6">
        <v>2.2999999999999998</v>
      </c>
      <c r="B7" s="1">
        <v>2</v>
      </c>
    </row>
    <row r="8" spans="1:2" x14ac:dyDescent="0.35">
      <c r="A8" s="6">
        <v>2.5</v>
      </c>
      <c r="B8" s="1">
        <v>1</v>
      </c>
    </row>
    <row r="9" spans="1:2" x14ac:dyDescent="0.35">
      <c r="A9" s="6">
        <v>2.6</v>
      </c>
      <c r="B9" s="1">
        <v>1</v>
      </c>
    </row>
    <row r="10" spans="1:2" x14ac:dyDescent="0.35">
      <c r="A10" s="6">
        <v>2.7</v>
      </c>
      <c r="B10" s="1">
        <v>1</v>
      </c>
    </row>
    <row r="11" spans="1:2" x14ac:dyDescent="0.35">
      <c r="A11" s="6">
        <v>2.8</v>
      </c>
      <c r="B11" s="1">
        <v>1</v>
      </c>
    </row>
    <row r="12" spans="1:2" x14ac:dyDescent="0.35">
      <c r="A12" s="6">
        <v>2.9</v>
      </c>
      <c r="B12" s="1">
        <v>1</v>
      </c>
    </row>
    <row r="13" spans="1:2" x14ac:dyDescent="0.35">
      <c r="A13" s="6">
        <v>3</v>
      </c>
      <c r="B13" s="1">
        <v>5</v>
      </c>
    </row>
    <row r="14" spans="1:2" x14ac:dyDescent="0.35">
      <c r="A14" s="6">
        <v>3.3</v>
      </c>
      <c r="B14" s="1">
        <v>1</v>
      </c>
    </row>
    <row r="15" spans="1:2" x14ac:dyDescent="0.35">
      <c r="A15" s="6">
        <v>3.8</v>
      </c>
      <c r="B15" s="1">
        <v>3</v>
      </c>
    </row>
    <row r="16" spans="1:2" x14ac:dyDescent="0.35">
      <c r="A16" s="6">
        <v>4</v>
      </c>
      <c r="B16" s="1">
        <v>4</v>
      </c>
    </row>
    <row r="17" spans="1:2" x14ac:dyDescent="0.35">
      <c r="A17" s="6">
        <v>4.0999999999999996</v>
      </c>
      <c r="B17" s="1">
        <v>3</v>
      </c>
    </row>
    <row r="18" spans="1:2" x14ac:dyDescent="0.35">
      <c r="A18" s="6">
        <v>4.2</v>
      </c>
      <c r="B18" s="1">
        <v>1</v>
      </c>
    </row>
    <row r="19" spans="1:2" x14ac:dyDescent="0.35">
      <c r="A19" s="6">
        <v>4.3</v>
      </c>
      <c r="B19" s="1">
        <v>4</v>
      </c>
    </row>
    <row r="20" spans="1:2" x14ac:dyDescent="0.35">
      <c r="A20" s="6">
        <v>4.4000000000000004</v>
      </c>
      <c r="B20" s="1">
        <v>1</v>
      </c>
    </row>
    <row r="21" spans="1:2" x14ac:dyDescent="0.35">
      <c r="A21" s="6">
        <v>4.5</v>
      </c>
      <c r="B21" s="1">
        <v>4</v>
      </c>
    </row>
    <row r="22" spans="1:2" x14ac:dyDescent="0.35">
      <c r="A22" s="6">
        <v>4.5999999999999996</v>
      </c>
      <c r="B22" s="1">
        <v>5</v>
      </c>
    </row>
    <row r="23" spans="1:2" x14ac:dyDescent="0.35">
      <c r="A23" s="6">
        <v>4.7</v>
      </c>
      <c r="B23" s="1">
        <v>4</v>
      </c>
    </row>
    <row r="24" spans="1:2" x14ac:dyDescent="0.35">
      <c r="A24" s="6">
        <v>4.8</v>
      </c>
      <c r="B24" s="1">
        <v>3</v>
      </c>
    </row>
    <row r="25" spans="1:2" x14ac:dyDescent="0.35">
      <c r="A25" s="6">
        <v>5</v>
      </c>
      <c r="B25" s="1">
        <v>7</v>
      </c>
    </row>
    <row r="26" spans="1:2" x14ac:dyDescent="0.35">
      <c r="A26" s="6"/>
      <c r="B26" s="1">
        <v>58</v>
      </c>
    </row>
    <row r="27" spans="1:2" x14ac:dyDescent="0.35">
      <c r="A27" s="6" t="s">
        <v>394</v>
      </c>
      <c r="B27" s="1"/>
    </row>
    <row r="28" spans="1:2" x14ac:dyDescent="0.35">
      <c r="A28" s="6" t="s">
        <v>395</v>
      </c>
      <c r="B28" s="1">
        <v>115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B832-5A34-452C-962F-0582623EE3D0}">
  <dimension ref="A1"/>
  <sheetViews>
    <sheetView zoomScale="66" workbookViewId="0">
      <selection activeCell="AA22" sqref="AA22"/>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FF31-DE5D-4A31-8420-C6E21EEEA2D7}">
  <dimension ref="A3:B14"/>
  <sheetViews>
    <sheetView workbookViewId="0">
      <selection activeCell="K7" sqref="K7"/>
    </sheetView>
  </sheetViews>
  <sheetFormatPr defaultRowHeight="14.5" x14ac:dyDescent="0.35"/>
  <cols>
    <col min="1" max="1" width="12.6328125" bestFit="1" customWidth="1"/>
    <col min="2" max="2" width="15.26953125" bestFit="1" customWidth="1"/>
  </cols>
  <sheetData>
    <row r="3" spans="1:2" x14ac:dyDescent="0.35">
      <c r="A3" s="5" t="s">
        <v>393</v>
      </c>
      <c r="B3" t="s">
        <v>396</v>
      </c>
    </row>
    <row r="4" spans="1:2" x14ac:dyDescent="0.35">
      <c r="A4" s="6">
        <v>0.02</v>
      </c>
      <c r="B4" s="1">
        <v>6</v>
      </c>
    </row>
    <row r="5" spans="1:2" x14ac:dyDescent="0.35">
      <c r="A5" s="6">
        <v>0.34</v>
      </c>
      <c r="B5" s="1">
        <v>4</v>
      </c>
    </row>
    <row r="6" spans="1:2" x14ac:dyDescent="0.35">
      <c r="A6" s="6">
        <v>0.38</v>
      </c>
      <c r="B6" s="1">
        <v>4</v>
      </c>
    </row>
    <row r="7" spans="1:2" x14ac:dyDescent="0.35">
      <c r="A7" s="6">
        <v>0.42</v>
      </c>
      <c r="B7" s="1">
        <v>6</v>
      </c>
    </row>
    <row r="8" spans="1:2" x14ac:dyDescent="0.35">
      <c r="A8" s="6">
        <v>0.43</v>
      </c>
      <c r="B8" s="1">
        <v>4</v>
      </c>
    </row>
    <row r="9" spans="1:2" x14ac:dyDescent="0.35">
      <c r="A9" s="6">
        <v>0.45</v>
      </c>
      <c r="B9" s="1">
        <v>4</v>
      </c>
    </row>
    <row r="10" spans="1:2" x14ac:dyDescent="0.35">
      <c r="A10" s="6">
        <v>0.47</v>
      </c>
      <c r="B10" s="1">
        <v>8</v>
      </c>
    </row>
    <row r="11" spans="1:2" x14ac:dyDescent="0.35">
      <c r="A11" s="6">
        <v>0.48</v>
      </c>
      <c r="B11" s="1">
        <v>4</v>
      </c>
    </row>
    <row r="12" spans="1:2" x14ac:dyDescent="0.35">
      <c r="A12" s="6">
        <v>0.49</v>
      </c>
      <c r="B12" s="1">
        <v>14</v>
      </c>
    </row>
    <row r="13" spans="1:2" x14ac:dyDescent="0.35">
      <c r="A13" s="6">
        <v>0.5</v>
      </c>
      <c r="B13" s="1">
        <v>7</v>
      </c>
    </row>
    <row r="14" spans="1:2" x14ac:dyDescent="0.35">
      <c r="A14" s="6" t="s">
        <v>395</v>
      </c>
      <c r="B14" s="1">
        <v>61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62E8-2FC3-4E23-9AEF-2124B4481F67}">
  <dimension ref="A3:B15"/>
  <sheetViews>
    <sheetView workbookViewId="0">
      <selection activeCell="O14" sqref="O14"/>
    </sheetView>
  </sheetViews>
  <sheetFormatPr defaultRowHeight="14.5" x14ac:dyDescent="0.35"/>
  <cols>
    <col min="1" max="1" width="12.6328125" bestFit="1" customWidth="1"/>
    <col min="2" max="2" width="15.26953125" bestFit="1" customWidth="1"/>
  </cols>
  <sheetData>
    <row r="3" spans="1:2" x14ac:dyDescent="0.35">
      <c r="A3" s="5" t="s">
        <v>393</v>
      </c>
      <c r="B3" t="s">
        <v>396</v>
      </c>
    </row>
    <row r="4" spans="1:2" x14ac:dyDescent="0.35">
      <c r="A4" s="6">
        <v>3</v>
      </c>
      <c r="B4" s="1">
        <v>5</v>
      </c>
    </row>
    <row r="5" spans="1:2" x14ac:dyDescent="0.35">
      <c r="A5" s="6">
        <v>3.8</v>
      </c>
      <c r="B5" s="1">
        <v>3</v>
      </c>
    </row>
    <row r="6" spans="1:2" x14ac:dyDescent="0.35">
      <c r="A6" s="6">
        <v>4</v>
      </c>
      <c r="B6" s="1">
        <v>4</v>
      </c>
    </row>
    <row r="7" spans="1:2" x14ac:dyDescent="0.35">
      <c r="A7" s="6">
        <v>4.0999999999999996</v>
      </c>
      <c r="B7" s="1">
        <v>3</v>
      </c>
    </row>
    <row r="8" spans="1:2" x14ac:dyDescent="0.35">
      <c r="A8" s="6">
        <v>4.3</v>
      </c>
      <c r="B8" s="1">
        <v>4</v>
      </c>
    </row>
    <row r="9" spans="1:2" x14ac:dyDescent="0.35">
      <c r="A9" s="6">
        <v>4.5</v>
      </c>
      <c r="B9" s="1">
        <v>4</v>
      </c>
    </row>
    <row r="10" spans="1:2" x14ac:dyDescent="0.35">
      <c r="A10" s="6">
        <v>4.5999999999999996</v>
      </c>
      <c r="B10" s="1">
        <v>5</v>
      </c>
    </row>
    <row r="11" spans="1:2" x14ac:dyDescent="0.35">
      <c r="A11" s="6">
        <v>4.7</v>
      </c>
      <c r="B11" s="1">
        <v>4</v>
      </c>
    </row>
    <row r="12" spans="1:2" x14ac:dyDescent="0.35">
      <c r="A12" s="6">
        <v>4.8</v>
      </c>
      <c r="B12" s="1">
        <v>3</v>
      </c>
    </row>
    <row r="13" spans="1:2" x14ac:dyDescent="0.35">
      <c r="A13" s="6">
        <v>5</v>
      </c>
      <c r="B13" s="1">
        <v>7</v>
      </c>
    </row>
    <row r="14" spans="1:2" x14ac:dyDescent="0.35">
      <c r="A14" s="6"/>
      <c r="B14" s="1">
        <v>58</v>
      </c>
    </row>
    <row r="15" spans="1:2" x14ac:dyDescent="0.35">
      <c r="A15" s="6" t="s">
        <v>395</v>
      </c>
      <c r="B15" s="1">
        <v>100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D185-A1AE-42E3-90E5-D0E59988165D}">
  <dimension ref="A3:B14"/>
  <sheetViews>
    <sheetView topLeftCell="A7" workbookViewId="0">
      <selection activeCell="P16" sqref="P16"/>
    </sheetView>
  </sheetViews>
  <sheetFormatPr defaultRowHeight="14.5" x14ac:dyDescent="0.35"/>
  <cols>
    <col min="1" max="1" width="12.6328125" bestFit="1" customWidth="1"/>
    <col min="2" max="2" width="15.26953125" bestFit="1" customWidth="1"/>
  </cols>
  <sheetData>
    <row r="3" spans="1:2" x14ac:dyDescent="0.35">
      <c r="A3" s="5" t="s">
        <v>393</v>
      </c>
      <c r="B3" t="s">
        <v>396</v>
      </c>
    </row>
    <row r="4" spans="1:2" x14ac:dyDescent="0.35">
      <c r="A4" s="6">
        <v>0.02</v>
      </c>
      <c r="B4" s="1">
        <v>6</v>
      </c>
    </row>
    <row r="5" spans="1:2" x14ac:dyDescent="0.35">
      <c r="A5" s="6">
        <v>0.34</v>
      </c>
      <c r="B5" s="1">
        <v>4</v>
      </c>
    </row>
    <row r="6" spans="1:2" x14ac:dyDescent="0.35">
      <c r="A6" s="6">
        <v>0.38</v>
      </c>
      <c r="B6" s="1">
        <v>4</v>
      </c>
    </row>
    <row r="7" spans="1:2" x14ac:dyDescent="0.35">
      <c r="A7" s="6">
        <v>0.42</v>
      </c>
      <c r="B7" s="1">
        <v>6</v>
      </c>
    </row>
    <row r="8" spans="1:2" x14ac:dyDescent="0.35">
      <c r="A8" s="6">
        <v>0.43</v>
      </c>
      <c r="B8" s="1">
        <v>4</v>
      </c>
    </row>
    <row r="9" spans="1:2" x14ac:dyDescent="0.35">
      <c r="A9" s="6">
        <v>0.45</v>
      </c>
      <c r="B9" s="1">
        <v>4</v>
      </c>
    </row>
    <row r="10" spans="1:2" x14ac:dyDescent="0.35">
      <c r="A10" s="6">
        <v>0.47</v>
      </c>
      <c r="B10" s="1">
        <v>8</v>
      </c>
    </row>
    <row r="11" spans="1:2" x14ac:dyDescent="0.35">
      <c r="A11" s="6">
        <v>0.48</v>
      </c>
      <c r="B11" s="1">
        <v>4</v>
      </c>
    </row>
    <row r="12" spans="1:2" x14ac:dyDescent="0.35">
      <c r="A12" s="6">
        <v>0.49</v>
      </c>
      <c r="B12" s="1">
        <v>14</v>
      </c>
    </row>
    <row r="13" spans="1:2" x14ac:dyDescent="0.35">
      <c r="A13" s="6">
        <v>0.5</v>
      </c>
      <c r="B13" s="1">
        <v>7</v>
      </c>
    </row>
    <row r="14" spans="1:2" x14ac:dyDescent="0.35">
      <c r="A14" s="6" t="s">
        <v>395</v>
      </c>
      <c r="B14" s="1">
        <v>61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6475C-1280-491F-BF3A-60FBDAEE59A7}">
  <dimension ref="A3:B7"/>
  <sheetViews>
    <sheetView workbookViewId="0">
      <selection activeCell="L12" sqref="L12"/>
    </sheetView>
  </sheetViews>
  <sheetFormatPr defaultRowHeight="14.5" x14ac:dyDescent="0.35"/>
  <cols>
    <col min="1" max="1" width="12.6328125" bestFit="1" customWidth="1"/>
    <col min="2" max="2" width="17.81640625" bestFit="1" customWidth="1"/>
  </cols>
  <sheetData>
    <row r="3" spans="1:2" x14ac:dyDescent="0.35">
      <c r="A3" s="5" t="s">
        <v>393</v>
      </c>
      <c r="B3" t="s">
        <v>397</v>
      </c>
    </row>
    <row r="4" spans="1:2" x14ac:dyDescent="0.35">
      <c r="A4" s="6" t="s">
        <v>405</v>
      </c>
      <c r="B4" s="1">
        <v>10.192307692307692</v>
      </c>
    </row>
    <row r="5" spans="1:2" x14ac:dyDescent="0.35">
      <c r="A5" s="6" t="s">
        <v>406</v>
      </c>
      <c r="B5" s="1">
        <v>3.7532467532467533</v>
      </c>
    </row>
    <row r="6" spans="1:2" x14ac:dyDescent="0.35">
      <c r="A6" s="6" t="s">
        <v>407</v>
      </c>
      <c r="B6" s="1">
        <v>14.083333333333334</v>
      </c>
    </row>
    <row r="7" spans="1:2" x14ac:dyDescent="0.35">
      <c r="A7" s="6" t="s">
        <v>395</v>
      </c>
      <c r="B7" s="1">
        <v>6.2869565217391301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E57F0-4507-4010-A628-54188E074AD9}">
  <dimension ref="A3:B14"/>
  <sheetViews>
    <sheetView workbookViewId="0">
      <selection activeCell="M20" sqref="M20"/>
    </sheetView>
  </sheetViews>
  <sheetFormatPr defaultRowHeight="14.5" x14ac:dyDescent="0.35"/>
  <cols>
    <col min="1" max="1" width="12.6328125" bestFit="1" customWidth="1"/>
    <col min="2" max="2" width="18.90625" bestFit="1" customWidth="1"/>
  </cols>
  <sheetData>
    <row r="3" spans="1:2" x14ac:dyDescent="0.35">
      <c r="A3" s="5" t="s">
        <v>393</v>
      </c>
      <c r="B3" t="s">
        <v>412</v>
      </c>
    </row>
    <row r="4" spans="1:2" x14ac:dyDescent="0.35">
      <c r="A4" s="6">
        <v>1</v>
      </c>
      <c r="B4" s="1">
        <v>2157.3333333333335</v>
      </c>
    </row>
    <row r="5" spans="1:2" x14ac:dyDescent="0.35">
      <c r="A5" s="6">
        <v>3</v>
      </c>
      <c r="B5" s="1">
        <v>3971</v>
      </c>
    </row>
    <row r="6" spans="1:2" x14ac:dyDescent="0.35">
      <c r="A6" s="6">
        <v>5</v>
      </c>
      <c r="B6" s="1">
        <v>3152.2857142857142</v>
      </c>
    </row>
    <row r="7" spans="1:2" x14ac:dyDescent="0.35">
      <c r="A7" s="6">
        <v>7</v>
      </c>
      <c r="B7" s="1">
        <v>2996.75</v>
      </c>
    </row>
    <row r="8" spans="1:2" x14ac:dyDescent="0.35">
      <c r="A8" s="6">
        <v>9</v>
      </c>
      <c r="B8" s="1">
        <v>2123.6666666666665</v>
      </c>
    </row>
    <row r="9" spans="1:2" x14ac:dyDescent="0.35">
      <c r="A9" s="6">
        <v>13</v>
      </c>
      <c r="B9" s="1">
        <v>2256.6666666666665</v>
      </c>
    </row>
    <row r="10" spans="1:2" x14ac:dyDescent="0.35">
      <c r="A10" s="6">
        <v>20</v>
      </c>
      <c r="B10" s="1">
        <v>2574.5</v>
      </c>
    </row>
    <row r="11" spans="1:2" x14ac:dyDescent="0.35">
      <c r="A11" s="6">
        <v>24</v>
      </c>
      <c r="B11" s="1">
        <v>2923</v>
      </c>
    </row>
    <row r="12" spans="1:2" x14ac:dyDescent="0.35">
      <c r="A12" s="6">
        <v>32</v>
      </c>
      <c r="B12" s="1">
        <v>2699</v>
      </c>
    </row>
    <row r="13" spans="1:2" x14ac:dyDescent="0.35">
      <c r="A13" s="6">
        <v>55</v>
      </c>
      <c r="B13" s="1">
        <v>3032</v>
      </c>
    </row>
    <row r="14" spans="1:2" x14ac:dyDescent="0.35">
      <c r="A14" s="6" t="s">
        <v>395</v>
      </c>
      <c r="B14" s="1">
        <v>2686.6206896551726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9611-C3F6-438A-B80A-865DEA594A56}">
  <dimension ref="A3:B7"/>
  <sheetViews>
    <sheetView workbookViewId="0">
      <selection activeCell="N21" sqref="N21"/>
    </sheetView>
  </sheetViews>
  <sheetFormatPr defaultRowHeight="14.5" x14ac:dyDescent="0.35"/>
  <cols>
    <col min="1" max="1" width="12.81640625" bestFit="1" customWidth="1"/>
    <col min="2" max="2" width="16.90625" bestFit="1" customWidth="1"/>
  </cols>
  <sheetData>
    <row r="3" spans="1:2" x14ac:dyDescent="0.35">
      <c r="A3" s="5" t="s">
        <v>393</v>
      </c>
      <c r="B3" t="s">
        <v>411</v>
      </c>
    </row>
    <row r="4" spans="1:2" x14ac:dyDescent="0.35">
      <c r="A4" s="6" t="s">
        <v>408</v>
      </c>
      <c r="B4" s="1">
        <v>4.0666666666666655</v>
      </c>
    </row>
    <row r="5" spans="1:2" x14ac:dyDescent="0.35">
      <c r="A5" s="6" t="s">
        <v>409</v>
      </c>
      <c r="B5" s="1">
        <v>3.6357142857142857</v>
      </c>
    </row>
    <row r="6" spans="1:2" x14ac:dyDescent="0.35">
      <c r="A6" s="6" t="s">
        <v>410</v>
      </c>
      <c r="B6" s="1">
        <v>3.8526315789473684</v>
      </c>
    </row>
    <row r="7" spans="1:2" x14ac:dyDescent="0.35">
      <c r="A7" s="6" t="s">
        <v>395</v>
      </c>
      <c r="B7" s="1">
        <v>3.8894736842105258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B07E-2FF3-4E18-8334-7D1C996EC192}">
  <dimension ref="A3:B6"/>
  <sheetViews>
    <sheetView workbookViewId="0">
      <selection activeCell="K5" sqref="K5"/>
    </sheetView>
  </sheetViews>
  <sheetFormatPr defaultRowHeight="14.5" x14ac:dyDescent="0.35"/>
  <cols>
    <col min="1" max="1" width="15.90625" bestFit="1" customWidth="1"/>
    <col min="2" max="2" width="21.6328125" bestFit="1" customWidth="1"/>
  </cols>
  <sheetData>
    <row r="3" spans="1:2" x14ac:dyDescent="0.35">
      <c r="A3" s="5" t="s">
        <v>393</v>
      </c>
      <c r="B3" t="s">
        <v>415</v>
      </c>
    </row>
    <row r="4" spans="1:2" x14ac:dyDescent="0.35">
      <c r="A4" s="6" t="s">
        <v>413</v>
      </c>
      <c r="B4" s="1">
        <v>18</v>
      </c>
    </row>
    <row r="5" spans="1:2" x14ac:dyDescent="0.35">
      <c r="A5" s="6" t="s">
        <v>414</v>
      </c>
      <c r="B5" s="1">
        <v>99</v>
      </c>
    </row>
    <row r="6" spans="1:2" x14ac:dyDescent="0.35">
      <c r="A6" s="6" t="s">
        <v>395</v>
      </c>
      <c r="B6" s="1">
        <v>117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8E79C-DFBD-4C43-AA18-7A062966D211}">
  <dimension ref="A1:K11"/>
  <sheetViews>
    <sheetView workbookViewId="0">
      <selection activeCell="B15" sqref="B15"/>
    </sheetView>
  </sheetViews>
  <sheetFormatPr defaultRowHeight="14.5" x14ac:dyDescent="0.35"/>
  <cols>
    <col min="1" max="1" width="62.453125" customWidth="1"/>
    <col min="2" max="2" width="12" bestFit="1" customWidth="1"/>
    <col min="4" max="4" width="10.7265625" bestFit="1" customWidth="1"/>
    <col min="5" max="5" width="16.1796875" bestFit="1" customWidth="1"/>
  </cols>
  <sheetData>
    <row r="1" spans="1:11" s="8" customFormat="1" x14ac:dyDescent="0.35">
      <c r="A1" s="8" t="s">
        <v>0</v>
      </c>
      <c r="B1" s="10" t="s">
        <v>326</v>
      </c>
      <c r="C1" s="8" t="s">
        <v>403</v>
      </c>
      <c r="D1" s="12" t="s">
        <v>399</v>
      </c>
      <c r="E1" s="12" t="s">
        <v>400</v>
      </c>
      <c r="F1" s="13" t="s">
        <v>3</v>
      </c>
      <c r="G1" s="9" t="s">
        <v>401</v>
      </c>
      <c r="H1" s="13" t="s">
        <v>328</v>
      </c>
      <c r="I1" s="8" t="s">
        <v>329</v>
      </c>
      <c r="J1" s="8" t="s">
        <v>402</v>
      </c>
      <c r="K1" s="8" t="s">
        <v>341</v>
      </c>
    </row>
    <row r="2" spans="1:11" x14ac:dyDescent="0.35">
      <c r="A2" t="s">
        <v>195</v>
      </c>
      <c r="B2" s="11">
        <v>445</v>
      </c>
      <c r="C2" t="str">
        <f>IF(B2&lt;=500,"Low Price",IF(B2&lt;=1500,"Medium Price","High Price"))</f>
        <v>Low Price</v>
      </c>
      <c r="D2" s="3">
        <v>873</v>
      </c>
      <c r="E2" s="3">
        <f>D2-B2</f>
        <v>428</v>
      </c>
      <c r="F2" s="14">
        <v>0.49</v>
      </c>
      <c r="G2" s="2" t="str">
        <f>IF(F2&lt;0.2,"Low Discount",IF(F2&gt;=0.4,"Medium Discount",IF(F2&gt;40,"High Discount","Medium Discount")))</f>
        <v>Medium Discount</v>
      </c>
      <c r="H2" s="14">
        <v>69</v>
      </c>
      <c r="I2">
        <v>2.8</v>
      </c>
      <c r="J2" t="str">
        <f>IF(I2&lt;3,"Poor",IF(I2&lt;=4,"Average",IF(I2&gt;4.5,"Excellent","Average")))</f>
        <v>Poor</v>
      </c>
      <c r="K2" t="str">
        <f>IF(AND(F2&gt;3),"High Discount - Low Rating","")</f>
        <v/>
      </c>
    </row>
    <row r="3" spans="1:11" x14ac:dyDescent="0.35">
      <c r="A3" t="s">
        <v>30</v>
      </c>
      <c r="B3" s="11">
        <v>2319</v>
      </c>
      <c r="C3" t="str">
        <f>IF(B3&lt;=500,"Low Price",IF(B3&lt;=1500,"Medium Price","High Price"))</f>
        <v>High Price</v>
      </c>
      <c r="D3" s="3">
        <v>3032</v>
      </c>
      <c r="E3" s="3">
        <f>D3-B3</f>
        <v>713</v>
      </c>
      <c r="F3" s="14">
        <v>0.24</v>
      </c>
      <c r="G3" s="2" t="str">
        <f>IF(F3&lt;0.2,"Low Discount",IF(F3&gt;=0.4,"Medium Discount",IF(F3&gt;40,"High Discount","Medium Discount")))</f>
        <v>Medium Discount</v>
      </c>
      <c r="H3" s="14">
        <v>55</v>
      </c>
      <c r="I3">
        <v>4.5999999999999996</v>
      </c>
      <c r="J3" t="str">
        <f>IF(I3&lt;3,"Poor",IF(I3&lt;=4,"Average",IF(I3&gt;4.5,"Excellent","Average")))</f>
        <v>Excellent</v>
      </c>
      <c r="K3" t="str">
        <f>IF(AND(F3&gt;3),"High Discount - Low Rating","")</f>
        <v/>
      </c>
    </row>
    <row r="4" spans="1:11" x14ac:dyDescent="0.35">
      <c r="A4" t="s">
        <v>90</v>
      </c>
      <c r="B4" s="11">
        <v>420</v>
      </c>
      <c r="C4" t="str">
        <f>IF(B4&lt;=500,"Low Price",IF(B4&lt;=1500,"Medium Price","High Price"))</f>
        <v>Low Price</v>
      </c>
      <c r="D4" s="3">
        <v>647</v>
      </c>
      <c r="E4" s="3">
        <f>D4-B4</f>
        <v>227</v>
      </c>
      <c r="F4" s="14">
        <v>0.35</v>
      </c>
      <c r="G4" s="2" t="str">
        <f>IF(F4&lt;0.2,"Low Discount",IF(F4&gt;=0.4,"Medium Discount",IF(F4&gt;40,"High Discount","Medium Discount")))</f>
        <v>Medium Discount</v>
      </c>
      <c r="H4" s="14">
        <v>49</v>
      </c>
      <c r="I4">
        <v>4.5999999999999996</v>
      </c>
      <c r="J4" t="str">
        <f>IF(I4&lt;3,"Poor",IF(I4&lt;=4,"Average",IF(I4&gt;4.5,"Excellent","Average")))</f>
        <v>Excellent</v>
      </c>
      <c r="K4" t="str">
        <f>IF(AND(F4&gt;3),"High Discount - Low Rating","")</f>
        <v/>
      </c>
    </row>
    <row r="5" spans="1:11" x14ac:dyDescent="0.35">
      <c r="A5" t="s">
        <v>350</v>
      </c>
      <c r="B5" s="11">
        <v>998</v>
      </c>
      <c r="C5" t="str">
        <f>IF(B5&lt;=500,"Low Price",IF(B5&lt;=1500,"Medium Price","High Price"))</f>
        <v>Medium Price</v>
      </c>
      <c r="D5" s="3">
        <v>1966</v>
      </c>
      <c r="E5" s="3">
        <f>D5-B5</f>
        <v>968</v>
      </c>
      <c r="F5" s="14">
        <v>0.49</v>
      </c>
      <c r="G5" s="2" t="str">
        <f>IF(F5&lt;0.2,"Low Discount",IF(F5&gt;=0.4,"Medium Discount",IF(F5&gt;40,"High Discount","Medium Discount")))</f>
        <v>Medium Discount</v>
      </c>
      <c r="H5" s="14">
        <v>44</v>
      </c>
      <c r="I5">
        <v>4.5999999999999996</v>
      </c>
      <c r="J5" t="str">
        <f>IF(I5&lt;3,"Poor",IF(I5&lt;=4,"Average",IF(I5&gt;4.5,"Excellent","Average")))</f>
        <v>Excellent</v>
      </c>
      <c r="K5" t="str">
        <f>IF(AND(F5&gt;3),"High Discount - Low Rating","")</f>
        <v/>
      </c>
    </row>
    <row r="6" spans="1:11" x14ac:dyDescent="0.35">
      <c r="A6" t="s">
        <v>44</v>
      </c>
      <c r="B6" s="11">
        <v>990</v>
      </c>
      <c r="C6" t="str">
        <f>IF(B6&lt;=500,"Low Price",IF(B6&lt;=1500,"Medium Price","High Price"))</f>
        <v>Medium Price</v>
      </c>
      <c r="D6" s="3">
        <v>1500</v>
      </c>
      <c r="E6" s="3">
        <f>D6-B6</f>
        <v>510</v>
      </c>
      <c r="F6" s="14">
        <v>0.34</v>
      </c>
      <c r="G6" s="2" t="str">
        <f>IF(F6&lt;0.2,"Low Discount",IF(F6&gt;=0.4,"Medium Discount",IF(F6&gt;40,"High Discount","Medium Discount")))</f>
        <v>Medium Discount</v>
      </c>
      <c r="H6" s="14">
        <v>39</v>
      </c>
      <c r="I6">
        <v>4.7</v>
      </c>
      <c r="J6" t="str">
        <f>IF(I6&lt;3,"Poor",IF(I6&lt;=4,"Average",IF(I6&gt;4.5,"Excellent","Average")))</f>
        <v>Excellent</v>
      </c>
      <c r="K6" t="str">
        <f>IF(AND(F6&gt;3),"High Discount - Low Rating","")</f>
        <v/>
      </c>
    </row>
    <row r="7" spans="1:11" x14ac:dyDescent="0.35">
      <c r="A7" t="s">
        <v>358</v>
      </c>
      <c r="B7" s="11">
        <v>389</v>
      </c>
      <c r="C7" t="str">
        <f>IF(B7&lt;=500,"Low Price",IF(B7&lt;=1500,"Medium Price","High Price"))</f>
        <v>Low Price</v>
      </c>
      <c r="D7" s="3">
        <v>656</v>
      </c>
      <c r="E7" s="3">
        <f>D7-B7</f>
        <v>267</v>
      </c>
      <c r="F7" s="14">
        <v>0.41</v>
      </c>
      <c r="G7" s="2" t="str">
        <f>IF(F7&lt;0.2,"Low Discount",IF(F7&gt;=0.4,"Medium Discount",IF(F7&gt;40,"High Discount","Medium Discount")))</f>
        <v>Medium Discount</v>
      </c>
      <c r="H7" s="14">
        <v>36</v>
      </c>
      <c r="I7">
        <v>4.3</v>
      </c>
      <c r="J7" t="str">
        <f>IF(I7&lt;3,"Poor",IF(I7&lt;=4,"Average",IF(I7&gt;4.5,"Excellent","Average")))</f>
        <v>Average</v>
      </c>
      <c r="K7" t="str">
        <f>IF(AND(F7&gt;3),"High Discount - Low Rating","")</f>
        <v/>
      </c>
    </row>
    <row r="8" spans="1:11" x14ac:dyDescent="0.35">
      <c r="A8" t="s">
        <v>115</v>
      </c>
      <c r="B8" s="11">
        <v>1980</v>
      </c>
      <c r="C8" t="str">
        <f>IF(B8&lt;=500,"Low Price",IF(B8&lt;=1500,"Medium Price","High Price"))</f>
        <v>High Price</v>
      </c>
      <c r="D8" s="3">
        <v>2699</v>
      </c>
      <c r="E8" s="3">
        <f>D8-B8</f>
        <v>719</v>
      </c>
      <c r="F8" s="14">
        <v>0.27</v>
      </c>
      <c r="G8" s="2" t="str">
        <f>IF(F8&lt;0.2,"Low Discount",IF(F8&gt;=0.4,"Medium Discount",IF(F8&gt;40,"High Discount","Medium Discount")))</f>
        <v>Medium Discount</v>
      </c>
      <c r="H8" s="14">
        <v>32</v>
      </c>
      <c r="I8">
        <v>4.5</v>
      </c>
      <c r="J8" t="str">
        <f>IF(I8&lt;3,"Poor",IF(I8&lt;=4,"Average",IF(I8&gt;4.5,"Excellent","Average")))</f>
        <v>Average</v>
      </c>
      <c r="K8" t="str">
        <f>IF(AND(F8&gt;3),"High Discount - Low Rating","")</f>
        <v/>
      </c>
    </row>
    <row r="9" spans="1:11" x14ac:dyDescent="0.35">
      <c r="A9" t="s">
        <v>14</v>
      </c>
      <c r="B9" s="11">
        <v>2199</v>
      </c>
      <c r="C9" t="str">
        <f>IF(B9&lt;=500,"Low Price",IF(B9&lt;=1500,"Medium Price","High Price"))</f>
        <v>High Price</v>
      </c>
      <c r="D9" s="3">
        <v>2923</v>
      </c>
      <c r="E9" s="3">
        <f>D9-B9</f>
        <v>724</v>
      </c>
      <c r="F9" s="14">
        <v>0.25</v>
      </c>
      <c r="G9" s="2" t="str">
        <f>IF(F9&lt;0.2,"Low Discount",IF(F9&gt;=0.4,"Medium Discount",IF(F9&gt;40,"High Discount","Medium Discount")))</f>
        <v>Medium Discount</v>
      </c>
      <c r="H9" s="14">
        <v>24</v>
      </c>
      <c r="I9">
        <v>4.5999999999999996</v>
      </c>
      <c r="J9" t="str">
        <f>IF(I9&lt;3,"Poor",IF(I9&lt;=4,"Average",IF(I9&gt;4.5,"Excellent","Average")))</f>
        <v>Excellent</v>
      </c>
      <c r="K9" t="str">
        <f>IF(AND(F9&gt;3),"High Discount - Low Rating","")</f>
        <v/>
      </c>
    </row>
    <row r="10" spans="1:11" x14ac:dyDescent="0.35">
      <c r="A10" t="s">
        <v>98</v>
      </c>
      <c r="B10" s="11">
        <v>1758</v>
      </c>
      <c r="C10" t="str">
        <f>IF(B10&lt;=500,"Low Price",IF(B10&lt;=1500,"Medium Price","High Price"))</f>
        <v>High Price</v>
      </c>
      <c r="D10" s="3">
        <v>2499</v>
      </c>
      <c r="E10" s="3">
        <f>D10-B10</f>
        <v>741</v>
      </c>
      <c r="F10" s="14">
        <v>0.3</v>
      </c>
      <c r="G10" s="2" t="str">
        <f>IF(F10&lt;0.2,"Low Discount",IF(F10&gt;=0.4,"Medium Discount",IF(F10&gt;40,"High Discount","Medium Discount")))</f>
        <v>Medium Discount</v>
      </c>
      <c r="H10" s="14">
        <v>20</v>
      </c>
      <c r="I10">
        <v>4.0999999999999996</v>
      </c>
      <c r="J10" t="str">
        <f>IF(I10&lt;3,"Poor",IF(I10&lt;=4,"Average",IF(I10&gt;4.5,"Excellent","Average")))</f>
        <v>Average</v>
      </c>
      <c r="K10" t="str">
        <f>IF(AND(F10&gt;3),"High Discount - Low Rating","")</f>
        <v/>
      </c>
    </row>
    <row r="11" spans="1:11" x14ac:dyDescent="0.35">
      <c r="A11" t="s">
        <v>112</v>
      </c>
      <c r="B11" s="11">
        <v>1940</v>
      </c>
      <c r="C11" t="str">
        <f>IF(B11&lt;=500,"Low Price",IF(B11&lt;=1500,"Medium Price","High Price"))</f>
        <v>High Price</v>
      </c>
      <c r="D11" s="3">
        <v>2650</v>
      </c>
      <c r="E11" s="3">
        <f>D11-B11</f>
        <v>710</v>
      </c>
      <c r="F11" s="14">
        <v>0.27</v>
      </c>
      <c r="G11" s="2" t="str">
        <f>IF(F11&lt;0.2,"Low Discount",IF(F11&gt;=0.4,"Medium Discount",IF(F11&gt;40,"High Discount","Medium Discount")))</f>
        <v>Medium Discount</v>
      </c>
      <c r="H11" s="14">
        <v>20</v>
      </c>
      <c r="I11">
        <v>4.7</v>
      </c>
      <c r="J11" t="str">
        <f>IF(I11&lt;3,"Poor",IF(I11&lt;=4,"Average",IF(I11&gt;4.5,"Excellent","Average")))</f>
        <v>Excellent</v>
      </c>
      <c r="K11" t="str">
        <f>IF(AND(F11&gt;3),"High Discount - Low Rating","")</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1A68-3C2E-4FEE-B93F-4F41FCA49E7C}">
  <dimension ref="A1:J8"/>
  <sheetViews>
    <sheetView topLeftCell="A4" workbookViewId="0">
      <selection activeCell="A39" sqref="A39"/>
    </sheetView>
  </sheetViews>
  <sheetFormatPr defaultRowHeight="14.5" x14ac:dyDescent="0.35"/>
  <cols>
    <col min="1" max="1" width="57.54296875" customWidth="1"/>
    <col min="2" max="2" width="16.36328125" customWidth="1"/>
    <col min="3" max="3" width="9.1796875" customWidth="1"/>
    <col min="4" max="4" width="10.7265625" customWidth="1"/>
    <col min="5" max="5" width="16.1796875" bestFit="1" customWidth="1"/>
    <col min="7" max="7" width="15.54296875" customWidth="1"/>
  </cols>
  <sheetData>
    <row r="1" spans="1:10" s="8" customFormat="1" x14ac:dyDescent="0.35">
      <c r="A1" s="8" t="s">
        <v>0</v>
      </c>
      <c r="B1" s="10" t="s">
        <v>326</v>
      </c>
      <c r="C1" s="8" t="s">
        <v>403</v>
      </c>
      <c r="D1" s="12" t="s">
        <v>399</v>
      </c>
      <c r="E1" s="12" t="s">
        <v>400</v>
      </c>
      <c r="F1" s="9" t="s">
        <v>3</v>
      </c>
      <c r="G1" s="9" t="s">
        <v>401</v>
      </c>
      <c r="H1" s="8" t="s">
        <v>328</v>
      </c>
      <c r="I1" s="8" t="s">
        <v>329</v>
      </c>
      <c r="J1" s="8" t="s">
        <v>402</v>
      </c>
    </row>
    <row r="2" spans="1:10" x14ac:dyDescent="0.35">
      <c r="A2" t="s">
        <v>389</v>
      </c>
      <c r="B2" s="11">
        <v>450</v>
      </c>
      <c r="C2" t="str">
        <f>IF(B2&lt;=500,"Low Price",IF(B2&lt;=1500,"Medium Price","High Price"))</f>
        <v>Low Price</v>
      </c>
      <c r="D2" s="3">
        <v>900</v>
      </c>
      <c r="E2" s="3">
        <f>D2-B2</f>
        <v>450</v>
      </c>
      <c r="F2" s="2">
        <v>0.5</v>
      </c>
      <c r="G2" s="2" t="str">
        <f>IF(F2&lt;0.2,"Low Discount",IF(F2&gt;=0.4,"Medium Discount",IF(F2&gt;40,"High Discount","Medium Discount")))</f>
        <v>Medium Discount</v>
      </c>
      <c r="H2">
        <v>1</v>
      </c>
      <c r="I2">
        <v>2</v>
      </c>
      <c r="J2" t="str">
        <f>IF(I2&lt;3,"Poor",IF(I2&lt;=4,"Average",IF(I2&gt;4.5,"Excellent","Average")))</f>
        <v>Poor</v>
      </c>
    </row>
    <row r="3" spans="1:10" x14ac:dyDescent="0.35">
      <c r="A3" t="s">
        <v>367</v>
      </c>
      <c r="B3" s="11">
        <v>2115</v>
      </c>
      <c r="C3" t="str">
        <f>IF(B3&lt;=500,"Low Price",IF(B3&lt;=1500,"Medium Price","High Price"))</f>
        <v>High Price</v>
      </c>
      <c r="D3" s="3">
        <v>4700</v>
      </c>
      <c r="E3" s="3">
        <f>D3-B3</f>
        <v>2585</v>
      </c>
      <c r="F3" s="2">
        <v>0.55000000000000004</v>
      </c>
      <c r="G3" s="2" t="str">
        <f>IF(F3&lt;0.2,"Low Discount",IF(F3&gt;=0.4,"Medium Discount",IF(F3&gt;40,"High Discount","Medium Discount")))</f>
        <v>Medium Discount</v>
      </c>
      <c r="H3">
        <v>13</v>
      </c>
      <c r="I3">
        <v>2.1</v>
      </c>
      <c r="J3" t="str">
        <f>IF(I3&lt;3,"Poor",IF(I3&lt;=4,"Average",IF(I3&gt;4.5,"Excellent","Average")))</f>
        <v>Poor</v>
      </c>
    </row>
    <row r="4" spans="1:10" x14ac:dyDescent="0.35">
      <c r="A4" t="s">
        <v>374</v>
      </c>
      <c r="B4" s="11">
        <v>1570</v>
      </c>
      <c r="C4" t="str">
        <f>IF(B4&lt;=500,"Low Price",IF(B4&lt;=1500,"Medium Price","High Price"))</f>
        <v>High Price</v>
      </c>
      <c r="D4" s="3">
        <v>2988</v>
      </c>
      <c r="E4" s="3">
        <f>D4-B4</f>
        <v>1418</v>
      </c>
      <c r="F4" s="2">
        <v>0.47</v>
      </c>
      <c r="G4" s="2" t="str">
        <f>IF(F4&lt;0.2,"Low Discount",IF(F4&gt;=0.4,"Medium Discount",IF(F4&gt;40,"High Discount","Medium Discount")))</f>
        <v>Medium Discount</v>
      </c>
      <c r="H4">
        <v>7</v>
      </c>
      <c r="I4">
        <v>2.1</v>
      </c>
      <c r="J4" t="str">
        <f>IF(I4&lt;3,"Poor",IF(I4&lt;=4,"Average",IF(I4&gt;4.5,"Excellent","Average")))</f>
        <v>Poor</v>
      </c>
    </row>
    <row r="5" spans="1:10" x14ac:dyDescent="0.35">
      <c r="A5" t="s">
        <v>207</v>
      </c>
      <c r="B5" s="11">
        <v>990</v>
      </c>
      <c r="C5" t="str">
        <f>IF(B5&lt;=500,"Low Price",IF(B5&lt;=1500,"Medium Price","High Price"))</f>
        <v>Medium Price</v>
      </c>
      <c r="D5" s="3">
        <v>1814</v>
      </c>
      <c r="E5" s="3">
        <f>D5-B5</f>
        <v>824</v>
      </c>
      <c r="F5" s="2">
        <v>0.45</v>
      </c>
      <c r="G5" s="2" t="str">
        <f>IF(F5&lt;0.2,"Low Discount",IF(F5&gt;=0.4,"Medium Discount",IF(F5&gt;40,"High Discount","Medium Discount")))</f>
        <v>Medium Discount</v>
      </c>
      <c r="H5">
        <v>6</v>
      </c>
      <c r="I5">
        <v>2.2000000000000002</v>
      </c>
      <c r="J5" t="str">
        <f>IF(I5&lt;3,"Poor",IF(I5&lt;=4,"Average",IF(I5&gt;4.5,"Excellent","Average")))</f>
        <v>Poor</v>
      </c>
    </row>
    <row r="6" spans="1:10" x14ac:dyDescent="0.35">
      <c r="A6" t="s">
        <v>373</v>
      </c>
      <c r="B6" s="11">
        <v>968</v>
      </c>
      <c r="C6" t="str">
        <f>IF(B6&lt;=500,"Low Price",IF(B6&lt;=1500,"Medium Price","High Price"))</f>
        <v>Medium Price</v>
      </c>
      <c r="D6" s="3">
        <v>1814</v>
      </c>
      <c r="E6" s="3">
        <f>D6-B6</f>
        <v>846</v>
      </c>
      <c r="F6" s="2">
        <v>0.47</v>
      </c>
      <c r="G6" s="2" t="str">
        <f>IF(F6&lt;0.2,"Low Discount",IF(F6&gt;=0.4,"Medium Discount",IF(F6&gt;40,"High Discount","Medium Discount")))</f>
        <v>Medium Discount</v>
      </c>
      <c r="H6">
        <v>6</v>
      </c>
      <c r="I6">
        <v>2.2000000000000002</v>
      </c>
      <c r="J6" t="str">
        <f>IF(I6&lt;3,"Poor",IF(I6&lt;=4,"Average",IF(I6&gt;4.5,"Excellent","Average")))</f>
        <v>Poor</v>
      </c>
    </row>
    <row r="7" spans="1:10" x14ac:dyDescent="0.35">
      <c r="A7" t="s">
        <v>370</v>
      </c>
      <c r="B7" s="11">
        <v>1000</v>
      </c>
      <c r="C7" t="str">
        <f>IF(B7&lt;=500,"Low Price",IF(B7&lt;=1500,"Medium Price","High Price"))</f>
        <v>Medium Price</v>
      </c>
      <c r="D7" s="3">
        <v>2000</v>
      </c>
      <c r="E7" s="3">
        <f>D7-B7</f>
        <v>1000</v>
      </c>
      <c r="F7" s="2">
        <v>0.5</v>
      </c>
      <c r="G7" s="2" t="str">
        <f>IF(F7&lt;0.2,"Low Discount",IF(F7&gt;=0.4,"Medium Discount",IF(F7&gt;40,"High Discount","Medium Discount")))</f>
        <v>Medium Discount</v>
      </c>
      <c r="H7">
        <v>7</v>
      </c>
      <c r="I7">
        <v>2.2999999999999998</v>
      </c>
      <c r="J7" t="str">
        <f>IF(I7&lt;3,"Poor",IF(I7&lt;=4,"Average",IF(I7&gt;4.5,"Excellent","Average")))</f>
        <v>Poor</v>
      </c>
    </row>
    <row r="8" spans="1:10" x14ac:dyDescent="0.35">
      <c r="A8" t="s">
        <v>222</v>
      </c>
      <c r="B8" s="11">
        <v>345</v>
      </c>
      <c r="C8" t="str">
        <f>IF(B8&lt;=500,"Low Price",IF(B8&lt;=1500,"Medium Price","High Price"))</f>
        <v>Low Price</v>
      </c>
      <c r="D8" s="3">
        <v>602</v>
      </c>
      <c r="E8" s="3">
        <f>D8-B8</f>
        <v>257</v>
      </c>
      <c r="F8" s="2">
        <v>0.43</v>
      </c>
      <c r="G8" s="2" t="str">
        <f>IF(F8&lt;0.2,"Low Discount",IF(F8&gt;=0.4,"Medium Discount",IF(F8&gt;40,"High Discount","Medium Discount")))</f>
        <v>Medium Discount</v>
      </c>
      <c r="H8">
        <v>6</v>
      </c>
      <c r="I8">
        <v>2.2999999999999998</v>
      </c>
      <c r="J8" t="str">
        <f>IF(I8&lt;3,"Poor",IF(I8&lt;=4,"Average",IF(I8&gt;4.5,"Excellent","Average")))</f>
        <v>Poor</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0FD62C-4B1F-46DE-B0B7-C9DAAA34A1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Raw Excel Jumia Data.</vt:lpstr>
      <vt:lpstr>Current Price with Rating.</vt:lpstr>
      <vt:lpstr>Cleaned_Data</vt:lpstr>
      <vt:lpstr>Average Reviews and Rating.</vt:lpstr>
      <vt:lpstr>Discount and Average Reviews.</vt:lpstr>
      <vt:lpstr>Average Old Price with Rating.</vt:lpstr>
      <vt:lpstr>Products with Rating.</vt:lpstr>
      <vt:lpstr>Dashbord.</vt:lpstr>
      <vt:lpstr>Products with Discount.</vt:lpstr>
      <vt:lpstr>Top 10 Rating.</vt:lpstr>
      <vt:lpstr>Top 10 Discount</vt:lpstr>
      <vt:lpstr>Rating Category,Average Review</vt:lpstr>
      <vt:lpstr>Top 10 Reviews.</vt:lpstr>
      <vt:lpstr>Price Category,Average Rating.</vt:lpstr>
      <vt:lpstr>Discount Category.</vt:lpstr>
      <vt:lpstr>Products with high  Reviews</vt:lpstr>
      <vt:lpstr>Top 5 Products With Highest 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C</dc:creator>
  <cp:lastModifiedBy>P C</cp:lastModifiedBy>
  <dcterms:created xsi:type="dcterms:W3CDTF">2026-09-04T07:05:33Z</dcterms:created>
  <dcterms:modified xsi:type="dcterms:W3CDTF">2026-09-04T23:02:52Z</dcterms:modified>
</cp:coreProperties>
</file>